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01"/>
  <workbookPr hidePivotFieldList="1"/>
  <mc:AlternateContent xmlns:mc="http://schemas.openxmlformats.org/markup-compatibility/2006">
    <mc:Choice Requires="x15">
      <x15ac:absPath xmlns:x15ac="http://schemas.microsoft.com/office/spreadsheetml/2010/11/ac" url="C:\Users\WoleGT\Desktop\New folder\Desktop\AINOW\"/>
    </mc:Choice>
  </mc:AlternateContent>
  <xr:revisionPtr revIDLastSave="0" documentId="13_ncr:1_{E5263B92-0928-45FE-998D-6B0647A8BBA2}" xr6:coauthVersionLast="43" xr6:coauthVersionMax="47" xr10:uidLastSave="{00000000-0000-0000-0000-000000000000}"/>
  <bookViews>
    <workbookView xWindow="-120" yWindow="-120" windowWidth="20730" windowHeight="11160" activeTab="5" xr2:uid="{00000000-000D-0000-FFFF-FFFF00000000}"/>
  </bookViews>
  <sheets>
    <sheet name="Cover" sheetId="3" r:id="rId1"/>
    <sheet name="Raw Data" sheetId="1" r:id="rId2"/>
    <sheet name="Cleaned" sheetId="10" r:id="rId3"/>
    <sheet name="Sheet1" sheetId="21" r:id="rId4"/>
    <sheet name="Analysis" sheetId="20" r:id="rId5"/>
    <sheet name="Dashboard" sheetId="18" r:id="rId6"/>
  </sheets>
  <definedNames>
    <definedName name="_xlnm._FilterDatabase" localSheetId="2" hidden="1">Cleaned!$A$1:$I$101</definedName>
    <definedName name="_xlnm._FilterDatabase" localSheetId="1" hidden="1">'Raw Data'!$A$1:$H$101</definedName>
    <definedName name="avgsales">#REF!</definedName>
    <definedName name="cus">Analysis!$N$74</definedName>
    <definedName name="rep">Analysis!$N$74</definedName>
    <definedName name="repp">Analysis!$P$43</definedName>
    <definedName name="rev">Analysis!$B$4</definedName>
    <definedName name="Revenue">#REF!</definedName>
    <definedName name="sales">#REF!</definedName>
    <definedName name="Slicer_Category">#N/A</definedName>
    <definedName name="Slicer_Region">#N/A</definedName>
    <definedName name="vol">Analysis!$P$36</definedName>
  </definedNames>
  <calcPr calcId="191029"/>
  <pivotCaches>
    <pivotCache cacheId="8"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I12" i="18" l="1"/>
  <c r="O2" i="10" a="1"/>
  <c r="O2" i="10" s="1"/>
  <c r="N2" i="10" a="1"/>
  <c r="N2" i="10" s="1"/>
  <c r="M2" i="10"/>
  <c r="L2" i="10" a="1"/>
  <c r="L2" i="10" s="1"/>
  <c r="K2" i="10" a="1"/>
  <c r="K2" i="10" s="1"/>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2" i="10"/>
  <c r="J2" i="10" l="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<sst xmlns="http://schemas.openxmlformats.org/spreadsheetml/2006/main" count="1500" uniqueCount="490">
  <si>
    <t>Date</t>
  </si>
  <si>
    <t>Region</t>
  </si>
  <si>
    <t>Product</t>
  </si>
  <si>
    <t>Category</t>
  </si>
  <si>
    <t>Units Sold</t>
  </si>
  <si>
    <t>Unit Price</t>
  </si>
  <si>
    <t>Sales Rep</t>
  </si>
  <si>
    <t>Customer</t>
  </si>
  <si>
    <t>South</t>
  </si>
  <si>
    <t>LAPTOP  A15</t>
  </si>
  <si>
    <t xml:space="preserve">computers  </t>
  </si>
  <si>
    <t xml:space="preserve">  Peter Obi   </t>
  </si>
  <si>
    <t>bright solutions</t>
  </si>
  <si>
    <t>tv  43q</t>
  </si>
  <si>
    <t>ELECTRONICS</t>
  </si>
  <si>
    <t xml:space="preserve">Ifeanyi Okafor  </t>
  </si>
  <si>
    <t>Musa Enterprises</t>
  </si>
  <si>
    <t>PHONE X12</t>
  </si>
  <si>
    <t>Mobile</t>
  </si>
  <si>
    <t>fola balogun</t>
  </si>
  <si>
    <t xml:space="preserve"> ZAINAB GLOBAL  </t>
  </si>
  <si>
    <t>17-MAY-2025</t>
  </si>
  <si>
    <t xml:space="preserve"> MONITOR M2 4</t>
  </si>
  <si>
    <t xml:space="preserve">  PERIPHERALS </t>
  </si>
  <si>
    <t>IFEANYI OKAFOR</t>
  </si>
  <si>
    <t xml:space="preserve"> Jid eSuperstores </t>
  </si>
  <si>
    <t xml:space="preserve">28-jan-2025   </t>
  </si>
  <si>
    <t xml:space="preserve">  Phone X12 </t>
  </si>
  <si>
    <t xml:space="preserve"> Mobile</t>
  </si>
  <si>
    <t>petero bi</t>
  </si>
  <si>
    <t>chkia  mart</t>
  </si>
  <si>
    <t xml:space="preserve">  26-May-2025 </t>
  </si>
  <si>
    <t>mobile</t>
  </si>
  <si>
    <t>IFEANYI  OKAFOR</t>
  </si>
  <si>
    <t>Musa  Enterprises</t>
  </si>
  <si>
    <t xml:space="preserve"> 06-MAY-2025 </t>
  </si>
  <si>
    <t xml:space="preserve">  tv 43q </t>
  </si>
  <si>
    <t xml:space="preserve"> Electronics</t>
  </si>
  <si>
    <t>AISHA  BELLO</t>
  </si>
  <si>
    <t>Chika  Mart</t>
  </si>
  <si>
    <t>10-Feb-2025</t>
  </si>
  <si>
    <t xml:space="preserve"> monitor m24  </t>
  </si>
  <si>
    <t>peripherals</t>
  </si>
  <si>
    <t>peter obi</t>
  </si>
  <si>
    <t xml:space="preserve">MUSA ENTERPIRSES </t>
  </si>
  <si>
    <t xml:space="preserve"> 01-FEB-2025 </t>
  </si>
  <si>
    <t xml:space="preserve"> CAMERA C100</t>
  </si>
  <si>
    <t xml:space="preserve">PHOTOGRAPHY </t>
  </si>
  <si>
    <t xml:space="preserve"> fola balogun </t>
  </si>
  <si>
    <t xml:space="preserve">BRIGTH  SOLUTIONS </t>
  </si>
  <si>
    <t>28-Jun-2025</t>
  </si>
  <si>
    <t>West</t>
  </si>
  <si>
    <t>Tablet  T8</t>
  </si>
  <si>
    <t xml:space="preserve">  mobile ,</t>
  </si>
  <si>
    <t xml:space="preserve">  Peter Obi </t>
  </si>
  <si>
    <t>Alpha Retailers</t>
  </si>
  <si>
    <t xml:space="preserve"> 18-Apr-2025 </t>
  </si>
  <si>
    <t xml:space="preserve"> TABLET T8 	</t>
  </si>
  <si>
    <t xml:space="preserve">  Mobile</t>
  </si>
  <si>
    <t>fola  balogun</t>
  </si>
  <si>
    <t>MUSA ENTERPRISES</t>
  </si>
  <si>
    <t xml:space="preserve"> 25-Feb-2025</t>
  </si>
  <si>
    <t>North</t>
  </si>
  <si>
    <t>Speake r S10</t>
  </si>
  <si>
    <t xml:space="preserve"> Audio </t>
  </si>
  <si>
    <t>Aisha Bello</t>
  </si>
  <si>
    <t>Omega Wholesale</t>
  </si>
  <si>
    <t xml:space="preserve">  29-Apr-2025</t>
  </si>
  <si>
    <t xml:space="preserve">TABLET  T8 </t>
  </si>
  <si>
    <t xml:space="preserve">Mobile </t>
  </si>
  <si>
    <t xml:space="preserve">  AISHA BELLO</t>
  </si>
  <si>
    <t>kelvin tech</t>
  </si>
  <si>
    <t xml:space="preserve">02-Feb-2025  </t>
  </si>
  <si>
    <t xml:space="preserve"> tv 43q</t>
  </si>
  <si>
    <t>Chinedu  Nwosu</t>
  </si>
  <si>
    <t>EMEKA  TRADERS</t>
  </si>
  <si>
    <t xml:space="preserve">15-Apr-2025  </t>
  </si>
  <si>
    <t xml:space="preserve"> Speaker S10 </t>
  </si>
  <si>
    <t xml:space="preserve"> Audio .</t>
  </si>
  <si>
    <t xml:space="preserve">ifeanyi okafor  </t>
  </si>
  <si>
    <t>BRIGHT SOLUTIONS</t>
  </si>
  <si>
    <t>12-Jun-2025</t>
  </si>
  <si>
    <t>monitor m24</t>
  </si>
  <si>
    <t xml:space="preserve"> Peripherals </t>
  </si>
  <si>
    <t xml:space="preserve">chinedu nwosu   </t>
  </si>
  <si>
    <t>tola  ventures</t>
  </si>
  <si>
    <t xml:space="preserve">  31-JAN-2025 </t>
  </si>
  <si>
    <t>East</t>
  </si>
  <si>
    <t xml:space="preserve">Camera  C100 </t>
  </si>
  <si>
    <t xml:space="preserve">Photography </t>
  </si>
  <si>
    <t xml:space="preserve"> Fola Balogun </t>
  </si>
  <si>
    <t>02-FEB-2025</t>
  </si>
  <si>
    <t>Tablet T8</t>
  </si>
  <si>
    <t xml:space="preserve">  mary john </t>
  </si>
  <si>
    <t xml:space="preserve">  Jide Superstores </t>
  </si>
  <si>
    <t xml:space="preserve">25-May-2025 </t>
  </si>
  <si>
    <t xml:space="preserve"> Camera C100</t>
  </si>
  <si>
    <t>Photography</t>
  </si>
  <si>
    <t>Grace  Amos</t>
  </si>
  <si>
    <t xml:space="preserve">Femi Tech </t>
  </si>
  <si>
    <t xml:space="preserve">26-FEB-2025    </t>
  </si>
  <si>
    <t>Camera  C100</t>
  </si>
  <si>
    <t>Chinedu Nwosu</t>
  </si>
  <si>
    <t>06-Apr-2025 .</t>
  </si>
  <si>
    <t>Laptop A15</t>
  </si>
  <si>
    <t>Computers</t>
  </si>
  <si>
    <t xml:space="preserve">GRACE AMOS </t>
  </si>
  <si>
    <t>24-FEB-2025</t>
  </si>
  <si>
    <t xml:space="preserve"> camera c100   </t>
  </si>
  <si>
    <t xml:space="preserve">  Photography </t>
  </si>
  <si>
    <t>PETER  OBI</t>
  </si>
  <si>
    <t xml:space="preserve">Emeka Traders </t>
  </si>
  <si>
    <t xml:space="preserve">  24-mar-2025</t>
  </si>
  <si>
    <t xml:space="preserve">Tablet T8 </t>
  </si>
  <si>
    <t xml:space="preserve">  mobile.</t>
  </si>
  <si>
    <t>Maryam Ltd</t>
  </si>
  <si>
    <t xml:space="preserve">  28-May-2025 </t>
  </si>
  <si>
    <t xml:space="preserve"> Tablet T8 </t>
  </si>
  <si>
    <t xml:space="preserve">mobile   </t>
  </si>
  <si>
    <t xml:space="preserve"> ifeanyi okafor </t>
  </si>
  <si>
    <t>omega  wholesale</t>
  </si>
  <si>
    <t xml:space="preserve">  12-MAY-2025</t>
  </si>
  <si>
    <t>Laptop A15.</t>
  </si>
  <si>
    <t xml:space="preserve"> Computers </t>
  </si>
  <si>
    <t xml:space="preserve"> Grace Amos </t>
  </si>
  <si>
    <t xml:space="preserve">femi tech </t>
  </si>
  <si>
    <t xml:space="preserve">  11-MAY-2025 </t>
  </si>
  <si>
    <t xml:space="preserve">Camera C010 </t>
  </si>
  <si>
    <t>photography</t>
  </si>
  <si>
    <t xml:space="preserve">chinedu nwosu </t>
  </si>
  <si>
    <t xml:space="preserve"> 16-JAN-2025 </t>
  </si>
  <si>
    <t xml:space="preserve"> SPEAKER S10</t>
  </si>
  <si>
    <t xml:space="preserve"> Audio.</t>
  </si>
  <si>
    <t>grace amos</t>
  </si>
  <si>
    <t xml:space="preserve">  Femi Tech </t>
  </si>
  <si>
    <t>10-May-2025</t>
  </si>
  <si>
    <t xml:space="preserve"> Monitor M24 </t>
  </si>
  <si>
    <t>PERIPHERALS</t>
  </si>
  <si>
    <t xml:space="preserve"> Kelvin Tech 	</t>
  </si>
  <si>
    <t>01-feb-2025</t>
  </si>
  <si>
    <t xml:space="preserve">TV  43Q </t>
  </si>
  <si>
    <t>elecrtonics</t>
  </si>
  <si>
    <t xml:space="preserve"> zainab global	</t>
  </si>
  <si>
    <t xml:space="preserve">06-feb-2025 </t>
  </si>
  <si>
    <t>Electronics</t>
  </si>
  <si>
    <t xml:space="preserve">peter  obi </t>
  </si>
  <si>
    <t xml:space="preserve"> Femi Tech </t>
  </si>
  <si>
    <t>17-JUN-2025</t>
  </si>
  <si>
    <t xml:space="preserve">Electronics   </t>
  </si>
  <si>
    <t>Tope &amp; Sons .</t>
  </si>
  <si>
    <t xml:space="preserve">  09-Jan-2025 </t>
  </si>
  <si>
    <t>TABLET T8</t>
  </si>
  <si>
    <t>mobile.</t>
  </si>
  <si>
    <t>alpha retailers</t>
  </si>
  <si>
    <t xml:space="preserve">29-Jun-2025 </t>
  </si>
  <si>
    <t xml:space="preserve"> PHOTOGRAPHY</t>
  </si>
  <si>
    <t>Peter Obi</t>
  </si>
  <si>
    <t>Alpha  Retailers</t>
  </si>
  <si>
    <t xml:space="preserve">1-9mar-2025 </t>
  </si>
  <si>
    <t xml:space="preserve">mobile </t>
  </si>
  <si>
    <t xml:space="preserve"> Peter Obi </t>
  </si>
  <si>
    <t>Femi  Tech</t>
  </si>
  <si>
    <t>06-Feb-2025</t>
  </si>
  <si>
    <t>Peter Obi.</t>
  </si>
  <si>
    <t xml:space="preserve">Omega Wholesale </t>
  </si>
  <si>
    <t xml:space="preserve">06-Apr-2025  </t>
  </si>
  <si>
    <t>Monitor  M24</t>
  </si>
  <si>
    <t xml:space="preserve">Peripherals  </t>
  </si>
  <si>
    <t>maryam  ltd</t>
  </si>
  <si>
    <t xml:space="preserve"> 07-Feb-2025</t>
  </si>
  <si>
    <t xml:space="preserve">Monitor  M24 </t>
  </si>
  <si>
    <t xml:space="preserve">Peripherals </t>
  </si>
  <si>
    <t xml:space="preserve"> Mary John </t>
  </si>
  <si>
    <t xml:space="preserve">TOPE  &amp; SONS </t>
  </si>
  <si>
    <t xml:space="preserve">  07-mar-2025</t>
  </si>
  <si>
    <t>CAMERA C100</t>
  </si>
  <si>
    <t>PHOTOGRAPHY</t>
  </si>
  <si>
    <t xml:space="preserve"> GRACE AMOS</t>
  </si>
  <si>
    <t xml:space="preserve">  07-May-2025</t>
  </si>
  <si>
    <t xml:space="preserve"> PHONE X12 </t>
  </si>
  <si>
    <t>Mobile.</t>
  </si>
  <si>
    <t xml:space="preserve">  MARY JOHN </t>
  </si>
  <si>
    <t>Chkia  Mart</t>
  </si>
  <si>
    <t xml:space="preserve"> 30-Jun-2025 </t>
  </si>
  <si>
    <t>unknown</t>
  </si>
  <si>
    <t xml:space="preserve"> Musa Enterprises </t>
  </si>
  <si>
    <t xml:space="preserve"> mary john 	</t>
  </si>
  <si>
    <t>TOPE &amp; SONS</t>
  </si>
  <si>
    <t>13-Jan-2025</t>
  </si>
  <si>
    <t xml:space="preserve">  PHONE X12 </t>
  </si>
  <si>
    <t xml:space="preserve">15-JUN-2025  </t>
  </si>
  <si>
    <t>LAPTOP A15</t>
  </si>
  <si>
    <t xml:space="preserve"> Mary John</t>
  </si>
  <si>
    <t xml:space="preserve">Chika  Mart </t>
  </si>
  <si>
    <t>28-Feb-2025</t>
  </si>
  <si>
    <t xml:space="preserve">SPEAKER  S10 </t>
  </si>
  <si>
    <t>Audio</t>
  </si>
  <si>
    <t xml:space="preserve">ifeanyi okafor </t>
  </si>
  <si>
    <t>19-FEB-2025</t>
  </si>
  <si>
    <t xml:space="preserve">Mary John </t>
  </si>
  <si>
    <t xml:space="preserve">KELVIN TECH </t>
  </si>
  <si>
    <t>03-mar-2025</t>
  </si>
  <si>
    <t xml:space="preserve">Tablet  T8 </t>
  </si>
  <si>
    <t xml:space="preserve"> mobile,</t>
  </si>
  <si>
    <t>Fola  Balogun</t>
  </si>
  <si>
    <t xml:space="preserve">  ALPHA RETAILERS 	</t>
  </si>
  <si>
    <t>01-APR-2025</t>
  </si>
  <si>
    <t>MARY JOHN</t>
  </si>
  <si>
    <t xml:space="preserve">  Chika Mart </t>
  </si>
  <si>
    <t xml:space="preserve">07-APR-2025 </t>
  </si>
  <si>
    <t>TV  43Q</t>
  </si>
  <si>
    <t>grace amos,</t>
  </si>
  <si>
    <t xml:space="preserve">Jide Superstores </t>
  </si>
  <si>
    <t>26-Feb-2025</t>
  </si>
  <si>
    <t xml:space="preserve"> mobile   </t>
  </si>
  <si>
    <t xml:space="preserve"> KELVIN TECH</t>
  </si>
  <si>
    <t>01-jun-2025</t>
  </si>
  <si>
    <t>Speaker  S10</t>
  </si>
  <si>
    <t>audio</t>
  </si>
  <si>
    <t xml:space="preserve">  Aisha Bello </t>
  </si>
  <si>
    <t xml:space="preserve"> BRIGHT SOLUTIONS</t>
  </si>
  <si>
    <t xml:space="preserve">14-jan-2025  </t>
  </si>
  <si>
    <t>monitor  m24</t>
  </si>
  <si>
    <t xml:space="preserve"> PERIPHERALS</t>
  </si>
  <si>
    <t xml:space="preserve"> fola balogun</t>
  </si>
  <si>
    <t>Femi Tech</t>
  </si>
  <si>
    <t xml:space="preserve">22-feb-2025 	</t>
  </si>
  <si>
    <t xml:space="preserve"> peripherals </t>
  </si>
  <si>
    <t xml:space="preserve">grace amos </t>
  </si>
  <si>
    <t>jide superstores</t>
  </si>
  <si>
    <t xml:space="preserve">24-amr-2025	</t>
  </si>
  <si>
    <t xml:space="preserve">  aisha bello ,</t>
  </si>
  <si>
    <t xml:space="preserve">  Kelvin Tech </t>
  </si>
  <si>
    <t xml:space="preserve">27-Jan-2025 </t>
  </si>
  <si>
    <t xml:space="preserve"> FEMI TECH</t>
  </si>
  <si>
    <t>04-jna-2025</t>
  </si>
  <si>
    <t xml:space="preserve">tv  43q </t>
  </si>
  <si>
    <t>IFEANYI OKAFOR .</t>
  </si>
  <si>
    <t>JIDE SUPERSTORES ,</t>
  </si>
  <si>
    <t xml:space="preserve">  08-mar-2025</t>
  </si>
  <si>
    <t xml:space="preserve">phone x12 </t>
  </si>
  <si>
    <t>aisha  bello</t>
  </si>
  <si>
    <t xml:space="preserve"> adewales tores </t>
  </si>
  <si>
    <t xml:space="preserve"> 23-JAN-2025</t>
  </si>
  <si>
    <t xml:space="preserve">Tablet T8	</t>
  </si>
  <si>
    <t>MOBILE</t>
  </si>
  <si>
    <t>Chinedu  Nwosu,</t>
  </si>
  <si>
    <t xml:space="preserve">maryam ltd </t>
  </si>
  <si>
    <t>16-Jan-2025</t>
  </si>
  <si>
    <t xml:space="preserve">audio </t>
  </si>
  <si>
    <t>Kelvin  Tech</t>
  </si>
  <si>
    <t>05F-eb-2025</t>
  </si>
  <si>
    <t>laptop  a15</t>
  </si>
  <si>
    <t xml:space="preserve">COMPUTERS   </t>
  </si>
  <si>
    <t xml:space="preserve"> aisha bello</t>
  </si>
  <si>
    <t>zainab global</t>
  </si>
  <si>
    <t xml:space="preserve"> 06-jan-2025  </t>
  </si>
  <si>
    <t xml:space="preserve">  TABLET T8 </t>
  </si>
  <si>
    <t xml:space="preserve"> Mobile </t>
  </si>
  <si>
    <t xml:space="preserve">  aisha bello</t>
  </si>
  <si>
    <t>Emeka  Traders</t>
  </si>
  <si>
    <t>TV 43Q</t>
  </si>
  <si>
    <t>EELCTRONICS</t>
  </si>
  <si>
    <t xml:space="preserve">  CHINEDU NWOSU</t>
  </si>
  <si>
    <t>Tola  Ventures</t>
  </si>
  <si>
    <t xml:space="preserve"> 14-Jan-2025 </t>
  </si>
  <si>
    <t xml:space="preserve">  Laptop A15</t>
  </si>
  <si>
    <t xml:space="preserve">Computers  </t>
  </si>
  <si>
    <t xml:space="preserve">  chinedu nwosu </t>
  </si>
  <si>
    <t>CHIKA MART</t>
  </si>
  <si>
    <t xml:space="preserve">02-MAY-2025	</t>
  </si>
  <si>
    <t>Aisha Bello ,</t>
  </si>
  <si>
    <t xml:space="preserve">17-Jun-2205  </t>
  </si>
  <si>
    <t xml:space="preserve">SPEAKER S10	</t>
  </si>
  <si>
    <t>Fola Balogun</t>
  </si>
  <si>
    <t xml:space="preserve">  emeka traders</t>
  </si>
  <si>
    <t xml:space="preserve"> 13-Jan-2025 </t>
  </si>
  <si>
    <t xml:space="preserve">  Chinedu Nwosu</t>
  </si>
  <si>
    <t xml:space="preserve"> Tola Ventuers </t>
  </si>
  <si>
    <t xml:space="preserve">02-Jun-2025 </t>
  </si>
  <si>
    <t xml:space="preserve"> MOBILE</t>
  </si>
  <si>
    <t xml:space="preserve">Ifeanyi Okafor </t>
  </si>
  <si>
    <t>16-Feb-2025</t>
  </si>
  <si>
    <t>CAMERA C100,</t>
  </si>
  <si>
    <t>Photography,</t>
  </si>
  <si>
    <t xml:space="preserve">peter obi </t>
  </si>
  <si>
    <t>14-APR-2025.</t>
  </si>
  <si>
    <t xml:space="preserve"> Speaker S10</t>
  </si>
  <si>
    <t xml:space="preserve">AUDIO </t>
  </si>
  <si>
    <t xml:space="preserve">  chinedu nwosu</t>
  </si>
  <si>
    <t xml:space="preserve">Kelvin Tech </t>
  </si>
  <si>
    <t xml:space="preserve"> 06-Jan-2025</t>
  </si>
  <si>
    <t xml:space="preserve">Laptop A15 </t>
  </si>
  <si>
    <t xml:space="preserve"> COMPUTERS </t>
  </si>
  <si>
    <t xml:space="preserve">  Grace Amos .</t>
  </si>
  <si>
    <t>Chika Mart</t>
  </si>
  <si>
    <t xml:space="preserve">11-JAN-2025 </t>
  </si>
  <si>
    <t xml:space="preserve">Chinedu Nwosu </t>
  </si>
  <si>
    <t xml:space="preserve"> TOLA VENTURES</t>
  </si>
  <si>
    <t xml:space="preserve"> Tv 43Q </t>
  </si>
  <si>
    <t xml:space="preserve"> ELECTRONICS	</t>
  </si>
  <si>
    <t xml:space="preserve">Chinedu  Nwosu </t>
  </si>
  <si>
    <t xml:space="preserve">Omega  Wholesale </t>
  </si>
  <si>
    <t xml:space="preserve"> 14-jan-2025 </t>
  </si>
  <si>
    <t xml:space="preserve"> monitor m24</t>
  </si>
  <si>
    <t xml:space="preserve">PERIPHERALS </t>
  </si>
  <si>
    <t>29-May-2025</t>
  </si>
  <si>
    <t>PHONE  X12</t>
  </si>
  <si>
    <t>zianab  global ,</t>
  </si>
  <si>
    <t xml:space="preserve">15-MAR-2025 </t>
  </si>
  <si>
    <t>Camer aC100</t>
  </si>
  <si>
    <t>AISHA BELLO</t>
  </si>
  <si>
    <t xml:space="preserve"> Jide Superstores   </t>
  </si>
  <si>
    <t>26-Mar-2025</t>
  </si>
  <si>
    <t xml:space="preserve">audio  </t>
  </si>
  <si>
    <t>GRACE AMOS</t>
  </si>
  <si>
    <t xml:space="preserve">Adewale  Stores  </t>
  </si>
  <si>
    <t>12-jan-2025</t>
  </si>
  <si>
    <t>tv 43q</t>
  </si>
  <si>
    <t xml:space="preserve">  Electronics </t>
  </si>
  <si>
    <t xml:space="preserve">  emeka tarders</t>
  </si>
  <si>
    <t xml:space="preserve"> 23-Jan-2025 </t>
  </si>
  <si>
    <t xml:space="preserve">  tv 43q</t>
  </si>
  <si>
    <t xml:space="preserve">  fola balogun</t>
  </si>
  <si>
    <t>Emeka Tradesr</t>
  </si>
  <si>
    <t xml:space="preserve">  05-May-2025 </t>
  </si>
  <si>
    <t xml:space="preserve">Tv 43Q  </t>
  </si>
  <si>
    <t xml:space="preserve"> ELECTRONICS </t>
  </si>
  <si>
    <t>ifeanyi  okafor</t>
  </si>
  <si>
    <t>19-May-2025</t>
  </si>
  <si>
    <t>SPEAKER S10</t>
  </si>
  <si>
    <t xml:space="preserve">  Audio </t>
  </si>
  <si>
    <t xml:space="preserve">aisha bello   </t>
  </si>
  <si>
    <t xml:space="preserve"> 04A-pr-2025</t>
  </si>
  <si>
    <t>TABLET  T8</t>
  </si>
  <si>
    <t>Mobile .</t>
  </si>
  <si>
    <t xml:space="preserve"> FOLA BALOGUN  </t>
  </si>
  <si>
    <t xml:space="preserve"> Musa Enterprises</t>
  </si>
  <si>
    <t xml:space="preserve"> 26-feb-2025</t>
  </si>
  <si>
    <t>monitor m24,</t>
  </si>
  <si>
    <t xml:space="preserve"> Peripherals</t>
  </si>
  <si>
    <t xml:space="preserve">Grace Amos </t>
  </si>
  <si>
    <t>femi tech</t>
  </si>
  <si>
    <t xml:space="preserve"> 03-jun-2025</t>
  </si>
  <si>
    <t xml:space="preserve"> adewale stores </t>
  </si>
  <si>
    <t xml:space="preserve">05-apr-2025 </t>
  </si>
  <si>
    <t xml:space="preserve"> COMPUTERS</t>
  </si>
  <si>
    <t xml:space="preserve"> Chinedu Nwosu </t>
  </si>
  <si>
    <t>30-JAN-2025</t>
  </si>
  <si>
    <t>MONITOR  M24</t>
  </si>
  <si>
    <t xml:space="preserve">Perpiherals  </t>
  </si>
  <si>
    <t xml:space="preserve"> 31-Jan-2025 </t>
  </si>
  <si>
    <t xml:space="preserve">laptop a15 </t>
  </si>
  <si>
    <t xml:space="preserve"> Comupters</t>
  </si>
  <si>
    <t xml:space="preserve"> AISHA BELLO </t>
  </si>
  <si>
    <t xml:space="preserve">OMEGA WHOLESALE </t>
  </si>
  <si>
    <t xml:space="preserve">27-MAY-0225 </t>
  </si>
  <si>
    <t xml:space="preserve">Aisha Bello </t>
  </si>
  <si>
    <t>08-pAr-2025</t>
  </si>
  <si>
    <t xml:space="preserve">Alpha Retailers </t>
  </si>
  <si>
    <t xml:space="preserve"> 13-FEB-2025 </t>
  </si>
  <si>
    <t>Omega  Wholesale</t>
  </si>
  <si>
    <t>09-aMr-2025</t>
  </si>
  <si>
    <t xml:space="preserve">Laptop  A15 	</t>
  </si>
  <si>
    <t xml:space="preserve">  Computers </t>
  </si>
  <si>
    <t xml:space="preserve">IFEANYI O KAFOR 	</t>
  </si>
  <si>
    <t>femi  tech ,</t>
  </si>
  <si>
    <t>20-FEB-2052</t>
  </si>
  <si>
    <t xml:space="preserve">Speaker  S10 </t>
  </si>
  <si>
    <t>AUDIO</t>
  </si>
  <si>
    <t xml:space="preserve"> fola balogun,</t>
  </si>
  <si>
    <t>FEMI  TECH</t>
  </si>
  <si>
    <t>19-Feb-2025</t>
  </si>
  <si>
    <t xml:space="preserve">Laptop A15  </t>
  </si>
  <si>
    <t xml:space="preserve"> COMPUTRES</t>
  </si>
  <si>
    <t>Mary  John</t>
  </si>
  <si>
    <t xml:space="preserve">TOEP &amp; SONS </t>
  </si>
  <si>
    <t xml:space="preserve">10-Apr-2025 </t>
  </si>
  <si>
    <t>Camera C100,</t>
  </si>
  <si>
    <t>Mary John</t>
  </si>
  <si>
    <t xml:space="preserve"> Kelvin Tech</t>
  </si>
  <si>
    <t xml:space="preserve"> 21-May-2025</t>
  </si>
  <si>
    <t xml:space="preserve">GRACE AMOS   </t>
  </si>
  <si>
    <t xml:space="preserve"> MUSA ENTERPRISES </t>
  </si>
  <si>
    <t>26-jun-2025</t>
  </si>
  <si>
    <t xml:space="preserve">Camera C100   </t>
  </si>
  <si>
    <t xml:space="preserve">  Photography</t>
  </si>
  <si>
    <t xml:space="preserve"> MARY JOHN .</t>
  </si>
  <si>
    <t xml:space="preserve">Bright Solutions  </t>
  </si>
  <si>
    <t xml:space="preserve"> 20-feb-2025</t>
  </si>
  <si>
    <t>audio .</t>
  </si>
  <si>
    <t xml:space="preserve">  Peter Obi</t>
  </si>
  <si>
    <t xml:space="preserve"> TOLA VENTURES </t>
  </si>
  <si>
    <t xml:space="preserve">  27-Ju-n2025</t>
  </si>
  <si>
    <t xml:space="preserve">camera  c100 </t>
  </si>
  <si>
    <t xml:space="preserve">Photography  </t>
  </si>
  <si>
    <t xml:space="preserve"> IFEANYI OKAFOR </t>
  </si>
  <si>
    <t xml:space="preserve">  emeka traders </t>
  </si>
  <si>
    <t xml:space="preserve"> 05-Feb-2025 </t>
  </si>
  <si>
    <t xml:space="preserve">  07-Jun-2025</t>
  </si>
  <si>
    <t xml:space="preserve"> peter obi </t>
  </si>
  <si>
    <t>femi  tech</t>
  </si>
  <si>
    <t xml:space="preserve">  13-May-2025 </t>
  </si>
  <si>
    <t xml:space="preserve">TABLET T8 </t>
  </si>
  <si>
    <t xml:space="preserve"> Mobile  </t>
  </si>
  <si>
    <t xml:space="preserve">grace amos	</t>
  </si>
  <si>
    <t>ALPHA RETAILERS</t>
  </si>
  <si>
    <t>Capstone project</t>
  </si>
  <si>
    <t>Praise Odunayo</t>
  </si>
  <si>
    <t>Aba Joel</t>
  </si>
  <si>
    <t>Job Austin</t>
  </si>
  <si>
    <t>Ifeanyi Okafor</t>
  </si>
  <si>
    <t>Grace Amos</t>
  </si>
  <si>
    <t>Tope &amp; Sons</t>
  </si>
  <si>
    <t>Adewale Stores</t>
  </si>
  <si>
    <t>Bright Solutions</t>
  </si>
  <si>
    <t>Emeka Traders</t>
  </si>
  <si>
    <t>Jide Superstores</t>
  </si>
  <si>
    <t>Kelvin Tech</t>
  </si>
  <si>
    <t>Zainab Global</t>
  </si>
  <si>
    <t>Tola Ventures</t>
  </si>
  <si>
    <t>Peripherals</t>
  </si>
  <si>
    <t>Camera C100</t>
  </si>
  <si>
    <t>Monitor M24</t>
  </si>
  <si>
    <t>Speaker S10</t>
  </si>
  <si>
    <t>Row Labels</t>
  </si>
  <si>
    <t>Grand Total</t>
  </si>
  <si>
    <t>Tv 43Q</t>
  </si>
  <si>
    <t>Phone X12</t>
  </si>
  <si>
    <t>Unknown</t>
  </si>
  <si>
    <t>Sum of Units Sold</t>
  </si>
  <si>
    <t>Jan</t>
  </si>
  <si>
    <t>Feb</t>
  </si>
  <si>
    <t>Mar</t>
  </si>
  <si>
    <t>Apr</t>
  </si>
  <si>
    <t>May</t>
  </si>
  <si>
    <t>Jun</t>
  </si>
  <si>
    <t>Aug</t>
  </si>
  <si>
    <t>Total no of Sales Rep</t>
  </si>
  <si>
    <t>Total no of Customers</t>
  </si>
  <si>
    <t>Total no of Categories</t>
  </si>
  <si>
    <t>Total no of Products</t>
  </si>
  <si>
    <t>Total no of Units Sold</t>
  </si>
  <si>
    <t>Sum of Total no of Units Sold</t>
  </si>
  <si>
    <t>OVERALL SALES PERFORMANCE</t>
  </si>
  <si>
    <t>REGIONAL PERFORMANCE</t>
  </si>
  <si>
    <t>SALES REP PERFORMANCE</t>
  </si>
  <si>
    <t>Sum of Total no of Sales Rep</t>
  </si>
  <si>
    <t>Sum of Total no of Customers</t>
  </si>
  <si>
    <t>Column Labels</t>
  </si>
  <si>
    <t>Sales</t>
  </si>
  <si>
    <t>Sum of Total Sales</t>
  </si>
  <si>
    <t>Total Sales</t>
  </si>
  <si>
    <t>Sum of Sales</t>
  </si>
  <si>
    <t>SALES BY REGION</t>
  </si>
  <si>
    <t>SALES BY PRODUCT CATEGORY</t>
  </si>
  <si>
    <t>SALES BY SALES REP</t>
  </si>
  <si>
    <t>SALES BY CUSTOMERS</t>
  </si>
  <si>
    <t>PERFORMANCE BY UNIT SOLD</t>
  </si>
  <si>
    <t>PERFORMANCE BY REVENUE</t>
  </si>
  <si>
    <t>TOP 3 PERFORMANCE BY REVENUE</t>
  </si>
  <si>
    <t>BOTTOM 3 PERFORMANCE BY REVENUE</t>
  </si>
  <si>
    <t>TOP 3 PERFORMANCE BY UNIT SOLD</t>
  </si>
  <si>
    <t>BOTTOM 3 PERFORMANCE BY UNIT SOLD</t>
  </si>
  <si>
    <t>UNIT SOLD BY REGION</t>
  </si>
  <si>
    <t>% UNIT SOLD</t>
  </si>
  <si>
    <t>% SALES</t>
  </si>
  <si>
    <t>PRODUCT CATEGORY ANALYSIS</t>
  </si>
  <si>
    <t>PRODUCT CATEGORY SOLD BY REGION</t>
  </si>
  <si>
    <t>PRODUCT CATEGORY BY UNIT SOLD</t>
  </si>
  <si>
    <t>PRODUCT CATEGORY BY SALES</t>
  </si>
  <si>
    <t>CUSTOMER CONTRIBUTION ANALYSIS</t>
  </si>
  <si>
    <t>VOLUME PURCHASED</t>
  </si>
  <si>
    <t>REVENUE BY CUSTOMERS</t>
  </si>
  <si>
    <t>TOP 5 BY VOLUME</t>
  </si>
  <si>
    <t>REVENUE</t>
  </si>
  <si>
    <t>NO OF SALES REP</t>
  </si>
  <si>
    <t>NO OF ACTIVE CUSTOMERS</t>
  </si>
  <si>
    <t>BOTTOM 5 BY REVENUE</t>
  </si>
  <si>
    <t>BOTTOM 5 BY VOLUME</t>
  </si>
  <si>
    <t>ACTIVE SALES REP</t>
  </si>
  <si>
    <t>SALES BY MONTHLY PERFORMANCE</t>
  </si>
  <si>
    <t>Qtr1</t>
  </si>
  <si>
    <t>Qtr2</t>
  </si>
  <si>
    <t>Qtr3</t>
  </si>
  <si>
    <t>SALES QUATERLY PERFORMANCE</t>
  </si>
  <si>
    <t>SALES MONTHLY TREND</t>
  </si>
  <si>
    <t>SALES MONTHLY ANALYSIS</t>
  </si>
  <si>
    <t>SALES TREND OVER TIME</t>
  </si>
  <si>
    <t>TOP 3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</si>
</sst>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F800]dddd\,\ mmmm\ dd\,\ yyyy"/>
    <numFmt numFmtId="165" formatCode="[$₦-46A]#,##0.00;[Red][$₦-46A]#,##0.00"/>
    <numFmt numFmtId="166" formatCode="_(* #,##0_);_(* \(#,##0\);_(* &quot;-&quot;??_);_(@_)"/>
    <numFmt numFmtId="167" formatCode="[$₦-46A]#.0,,&quot;m&quot;"/>
    <numFmt numFmtId="170" formatCode="_-[$₦-46A]* #,##0.0_-;\-[$₦-46A]* #,##0.0_-;_-[$₦-46A]* &quot;-&quot;?_-;_-@_-"/>
    <numFmt numFmtId="171" formatCode="_-[$₦-46A]#.00,,&quot;m&quot;"/>
    <numFmt numFmtId="172" formatCode="_-[$₦-46A]#.0,,&quot;m&quot;"/>
  </numFmts>
  <fonts count="8" x14ac:knownFonts="1">
    <font>
      <sz val="11"/>
      <color theme="1"/>
      <name val="Calibri"/>
      <family val="2"/>
      <scheme val="minor"/>
    </font>
    <font>
      <b/>
      <sz val="11"/>
      <color theme="0"/>
      <name val="Calibri"/>
      <family val="2"/>
    </font>
    <font>
      <b/>
      <sz val="26"/>
      <color rgb="FF002060"/>
      <name val="Calibri"/>
      <family val="2"/>
      <scheme val="minor"/>
    </font>
    <font>
      <b/>
      <sz val="11"/>
      <color rgb="FF002060"/>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s>
  <fills count="7">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43" fontId="4" fillId="0" borderId="0" applyFont="0" applyFill="0" applyBorder="0" applyAlignment="0" applyProtection="0"/>
  </cellStyleXfs>
  <cellXfs count="39">
    <xf numFmtId="0" fontId="0" fillId="0" borderId="0" xfId="0"/>
    <xf numFmtId="0" fontId="0" fillId="0" borderId="1" xfId="0" applyBorder="1"/>
    <xf numFmtId="0" fontId="1" fillId="2" borderId="1" xfId="0" applyFont="1" applyFill="1" applyBorder="1" applyAlignment="1">
      <alignment horizontal="center" vertical="top"/>
    </xf>
    <xf numFmtId="15" fontId="0" fillId="0" borderId="1" xfId="0" applyNumberFormat="1" applyBorder="1"/>
    <xf numFmtId="0" fontId="0" fillId="3" borderId="0" xfId="0" applyFill="1"/>
    <xf numFmtId="0" fontId="2" fillId="3" borderId="2" xfId="0" applyFont="1" applyFill="1" applyBorder="1"/>
    <xf numFmtId="0" fontId="3" fillId="3" borderId="2" xfId="0" applyFont="1" applyFill="1" applyBorder="1"/>
    <xf numFmtId="0" fontId="0" fillId="0" borderId="0" xfId="0" pivotButton="1"/>
    <xf numFmtId="0" fontId="0" fillId="0" borderId="0" xfId="0" applyAlignment="1">
      <alignment horizontal="left"/>
    </xf>
    <xf numFmtId="0" fontId="0" fillId="0" borderId="0" xfId="0" applyNumberFormat="1"/>
    <xf numFmtId="164" fontId="0" fillId="0" borderId="3" xfId="0" applyNumberFormat="1" applyBorder="1"/>
    <xf numFmtId="165" fontId="0" fillId="0" borderId="1" xfId="1" applyNumberFormat="1" applyFont="1" applyBorder="1"/>
    <xf numFmtId="165" fontId="0" fillId="0" borderId="0" xfId="1" applyNumberFormat="1" applyFont="1"/>
    <xf numFmtId="165" fontId="0" fillId="0" borderId="1" xfId="0" applyNumberFormat="1" applyBorder="1"/>
    <xf numFmtId="0" fontId="0" fillId="0" borderId="4" xfId="0" applyBorder="1"/>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165" fontId="1" fillId="2" borderId="6" xfId="1" applyNumberFormat="1" applyFont="1" applyFill="1" applyBorder="1" applyAlignment="1">
      <alignment horizontal="center" vertical="top"/>
    </xf>
    <xf numFmtId="0" fontId="1" fillId="2" borderId="7" xfId="0" applyFont="1" applyFill="1" applyBorder="1" applyAlignment="1">
      <alignment horizontal="center" vertical="top"/>
    </xf>
    <xf numFmtId="0" fontId="0" fillId="0" borderId="9" xfId="0" applyBorder="1"/>
    <xf numFmtId="165" fontId="0" fillId="0" borderId="9" xfId="1" applyNumberFormat="1" applyFont="1" applyBorder="1"/>
    <xf numFmtId="165" fontId="0" fillId="0" borderId="9" xfId="0" applyNumberFormat="1" applyBorder="1"/>
    <xf numFmtId="0" fontId="0" fillId="0" borderId="10" xfId="0" applyBorder="1"/>
    <xf numFmtId="164" fontId="0" fillId="0" borderId="8" xfId="0" applyNumberFormat="1" applyBorder="1"/>
    <xf numFmtId="10" fontId="0" fillId="0" borderId="0" xfId="0" applyNumberFormat="1"/>
    <xf numFmtId="165" fontId="0" fillId="0" borderId="0" xfId="0" applyNumberFormat="1"/>
    <xf numFmtId="43" fontId="0" fillId="0" borderId="0" xfId="0" applyNumberFormat="1"/>
    <xf numFmtId="0" fontId="0" fillId="4" borderId="0" xfId="0" applyFill="1"/>
    <xf numFmtId="166" fontId="0" fillId="0" borderId="0" xfId="0" applyNumberFormat="1"/>
    <xf numFmtId="0" fontId="0" fillId="0" borderId="0" xfId="0" applyAlignment="1">
      <alignment horizontal="left" indent="1"/>
    </xf>
    <xf numFmtId="0" fontId="0" fillId="5" borderId="0" xfId="0" applyFill="1"/>
    <xf numFmtId="0" fontId="0" fillId="6" borderId="0" xfId="0" applyFill="1"/>
    <xf numFmtId="0" fontId="5" fillId="0" borderId="0" xfId="0" applyFont="1"/>
    <xf numFmtId="0" fontId="7" fillId="0" borderId="0" xfId="0" applyFont="1"/>
    <xf numFmtId="167" fontId="0" fillId="0" borderId="0" xfId="0" applyNumberFormat="1"/>
    <xf numFmtId="14" fontId="0" fillId="0" borderId="0" xfId="0" applyNumberFormat="1"/>
    <xf numFmtId="170" fontId="0" fillId="0" borderId="0" xfId="0" applyNumberFormat="1"/>
    <xf numFmtId="171" fontId="0" fillId="0" borderId="0" xfId="0" applyNumberFormat="1"/>
    <xf numFmtId="172" fontId="0" fillId="0" borderId="0" xfId="0" applyNumberFormat="1"/>
  </cellXfs>
  <cellStyles count="2">
    <cellStyle name="Comma" xfId="1" builtinId="3"/>
    <cellStyle name="Normal" xfId="0" builtinId="0"/>
  </cellStyles>
  <dxfs count="71">
    <dxf>
      <numFmt numFmtId="170" formatCode="_-[$₦-46A]* #,##0.0_-;\-[$₦-46A]* #,##0.0_-;_-[$₦-46A]* &quot;-&quot;?_-;_-@_-"/>
    </dxf>
    <dxf>
      <numFmt numFmtId="167" formatCode="[$₦-46A]#.0,,&quot;m&quot;"/>
    </dxf>
    <dxf>
      <numFmt numFmtId="171" formatCode="_-[$₦-46A]#.00,,&quot;m&quot;"/>
    </dxf>
    <dxf>
      <numFmt numFmtId="172" formatCode="_-[$₦-46A]#.0,,&quot;m&quot;"/>
    </dxf>
    <dxf>
      <numFmt numFmtId="172" formatCode="_-[$₦-46A]#.0,,&quot;m&quot;"/>
    </dxf>
    <dxf>
      <numFmt numFmtId="170" formatCode="_-[$₦-46A]* #,##0.0_-;\-[$₦-46A]* #,##0.0_-;_-[$₦-46A]* &quot;-&quot;?_-;_-@_-"/>
    </dxf>
    <dxf>
      <numFmt numFmtId="167" formatCode="[$₦-46A]#.0,,&quot;m&quot;"/>
    </dxf>
    <dxf>
      <numFmt numFmtId="171" formatCode="_-[$₦-46A]#.00,,&quot;m&quot;"/>
    </dxf>
    <dxf>
      <numFmt numFmtId="172" formatCode="_-[$₦-46A]#.0,,&quot;m&quot;"/>
    </dxf>
    <dxf>
      <numFmt numFmtId="172" formatCode="_-[$₦-46A]#.0,,&quot;m&quot;"/>
    </dxf>
    <dxf>
      <numFmt numFmtId="170" formatCode="_-[$₦-46A]* #,##0.0_-;\-[$₦-46A]* #,##0.0_-;_-[$₦-46A]* &quot;-&quot;?_-;_-@_-"/>
    </dxf>
    <dxf>
      <numFmt numFmtId="167" formatCode="[$₦-46A]#.0,,&quot;m&quot;"/>
    </dxf>
    <dxf>
      <numFmt numFmtId="171" formatCode="_-[$₦-46A]#.00,,&quot;m&quot;"/>
    </dxf>
    <dxf>
      <numFmt numFmtId="172" formatCode="_-[$₦-46A]#.0,,&quot;m&quot;"/>
    </dxf>
    <dxf>
      <numFmt numFmtId="172" formatCode="_-[$₦-46A]#.0,,&quot;m&quot;"/>
    </dxf>
    <dxf>
      <numFmt numFmtId="170" formatCode="_-[$₦-46A]* #,##0.0_-;\-[$₦-46A]* #,##0.0_-;_-[$₦-46A]* &quot;-&quot;?_-;_-@_-"/>
    </dxf>
    <dxf>
      <numFmt numFmtId="167" formatCode="[$₦-46A]#.0,,&quot;m&quot;"/>
    </dxf>
    <dxf>
      <numFmt numFmtId="171" formatCode="_-[$₦-46A]#.00,,&quot;m&quot;"/>
    </dxf>
    <dxf>
      <numFmt numFmtId="172" formatCode="_-[$₦-46A]#.0,,&quot;m&quot;"/>
    </dxf>
    <dxf>
      <numFmt numFmtId="172" formatCode="_-[$₦-46A]#.0,,&quot;m&quot;"/>
    </dxf>
    <dxf>
      <numFmt numFmtId="19" formatCode="m/d/yyyy"/>
    </dxf>
    <dxf>
      <numFmt numFmtId="167" formatCode="[$₦-46A]#.0,,&quot;m&quot;"/>
    </dxf>
    <dxf>
      <numFmt numFmtId="35" formatCode="_(* #,##0.00_);_(* \(#,##0.00\);_(* &quot;-&quot;??_);_(@_)"/>
    </dxf>
    <dxf>
      <numFmt numFmtId="35" formatCode="_(* #,##0.00_);_(* \(#,##0.00\);_(* &quot;-&quot;??_);_(@_)"/>
    </dxf>
    <dxf>
      <numFmt numFmtId="35" formatCode="_(* #,##0.00_);_(* \(#,##0.00\);_(* &quot;-&quot;??_);_(@_)"/>
    </dxf>
    <dxf>
      <numFmt numFmtId="35" formatCode="_(* #,##0.00_);_(* \(#,##0.00\);_(* &quot;-&quot;??_);_(@_)"/>
    </dxf>
    <dxf>
      <numFmt numFmtId="166" formatCode="_(* #,##0_);_(* \(#,##0\);_(* &quot;-&quot;??_);_(@_)"/>
    </dxf>
    <dxf>
      <numFmt numFmtId="166" formatCode="_(* #,##0_);_(* \(#,##0\);_(* &quot;-&quot;??_);_(@_)"/>
    </dxf>
    <dxf>
      <numFmt numFmtId="14" formatCode="0.00%"/>
    </dxf>
    <dxf>
      <numFmt numFmtId="166" formatCode="_(* #,##0_);_(* \(#,##0\);_(* &quot;-&quot;??_);_(@_)"/>
    </dxf>
    <dxf>
      <numFmt numFmtId="166" formatCode="_(* #,##0_);_(* \(#,##0\);_(* &quot;-&quot;??_);_(@_)"/>
    </dxf>
    <dxf>
      <numFmt numFmtId="167" formatCode="[$₦-46A]#.0,,&quot;m&quot;"/>
    </dxf>
    <dxf>
      <numFmt numFmtId="166" formatCode="_(* #,##0_);_(* \(#,##0\);_(* &quot;-&quot;??_);_(@_)"/>
    </dxf>
    <dxf>
      <numFmt numFmtId="166" formatCode="_(* #,##0_);_(* \(#,##0\);_(* &quot;-&quot;??_);_(@_)"/>
    </dxf>
    <dxf>
      <numFmt numFmtId="166" formatCode="_(* #,##0_);_(* \(#,##0\);_(* &quot;-&quot;??_);_(@_)"/>
    </dxf>
    <dxf>
      <numFmt numFmtId="35" formatCode="_(* #,##0.00_);_(* \(#,##0.0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35" formatCode="_(* #,##0.00_);_(* \(#,##0.00\);_(* &quot;-&quot;??_);_(@_)"/>
    </dxf>
    <dxf>
      <numFmt numFmtId="35" formatCode="_(* #,##0.00_);_(* \(#,##0.00\);_(* &quot;-&quot;??_);_(@_)"/>
    </dxf>
    <dxf>
      <numFmt numFmtId="35" formatCode="_(* #,##0.00_);_(* \(#,##0.00\);_(* &quot;-&quot;??_);_(@_)"/>
    </dxf>
    <dxf>
      <numFmt numFmtId="167" formatCode="[$₦-46A]#.0,,&quot;m&quot;"/>
    </dxf>
    <dxf>
      <numFmt numFmtId="167" formatCode="[$₦-46A]#.0,,&quot;m&quot;"/>
    </dxf>
    <dxf>
      <numFmt numFmtId="167" formatCode="[$₦-46A]#.0,,&quot;m&quot;"/>
    </dxf>
    <dxf>
      <numFmt numFmtId="35" formatCode="_(* #,##0.00_);_(* \(#,##0.00\);_(* &quot;-&quot;??_);_(@_)"/>
    </dxf>
    <dxf>
      <numFmt numFmtId="35" formatCode="_(* #,##0.00_);_(* \(#,##0.00\);_(* &quot;-&quot;??_);_(@_)"/>
    </dxf>
    <dxf>
      <numFmt numFmtId="166" formatCode="_(* #,##0_);_(* \(#,##0\);_(* &quot;-&quot;??_);_(@_)"/>
    </dxf>
    <dxf>
      <numFmt numFmtId="166" formatCode="_(* #,##0_);_(* \(#,##0\);_(* &quot;-&quot;??_);_(@_)"/>
    </dxf>
    <dxf>
      <numFmt numFmtId="35" formatCode="_(* #,##0.00_);_(* \(#,##0.00\);_(* &quot;-&quot;??_);_(@_)"/>
    </dxf>
    <dxf>
      <numFmt numFmtId="35" formatCode="_(* #,##0.00_);_(* \(#,##0.00\);_(* &quot;-&quot;??_);_(@_)"/>
    </dxf>
    <dxf>
      <numFmt numFmtId="35" formatCode="_(* #,##0.00_);_(* \(#,##0.00\);_(* &quot;-&quot;??_);_(@_)"/>
    </dxf>
    <dxf>
      <numFmt numFmtId="0" formatCode="General"/>
    </dxf>
    <dxf>
      <numFmt numFmtId="0" formatCode="General"/>
    </dxf>
    <dxf>
      <numFmt numFmtId="0" formatCode="General"/>
    </dxf>
    <dxf>
      <numFmt numFmtId="0" formatCode="General"/>
    </dxf>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65" formatCode="[$₦-46A]#,##0.00;[Red][$₦-46A]#,##0.0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165" formatCode="[$₦-46A]#,##0.00;[Red][$₦-46A]#,##0.0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outline="0">
        <left style="thin">
          <color auto="1"/>
        </left>
        <right style="thin">
          <color auto="1"/>
        </right>
        <top style="thin">
          <color auto="1"/>
        </top>
        <bottom style="thin">
          <color auto="1"/>
        </bottom>
      </border>
    </dxf>
    <dxf>
      <numFmt numFmtId="164" formatCode="[$-F800]dddd\,\ mmmm\ dd\,\ yyyy"/>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none"/>
      </font>
      <fill>
        <patternFill patternType="solid">
          <fgColor indexed="64"/>
          <bgColor rgb="FF00206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Series1</c:v>
          </c:tx>
          <c:spPr>
            <a:solidFill>
              <a:schemeClr val="accent1"/>
            </a:solidFill>
            <a:ln>
              <a:noFill/>
            </a:ln>
            <a:effectLst/>
          </c:spPr>
          <c:cat>
            <c:numLit>
              <c:formatCode>General</c:formatCode>
              <c:ptCount val="10"/>
              <c:pt idx="0">
                <c:v>1</c:v>
              </c:pt>
              <c:pt idx="1">
                <c:v>2</c:v>
              </c:pt>
              <c:pt idx="2">
                <c:v>3</c:v>
              </c:pt>
              <c:pt idx="3">
                <c:v>4</c:v>
              </c:pt>
              <c:pt idx="4">
                <c:v>5</c:v>
              </c:pt>
              <c:pt idx="5">
                <c:v>6</c:v>
              </c:pt>
              <c:pt idx="6">
                <c:v>7</c:v>
              </c:pt>
              <c:pt idx="7">
                <c:v>8</c:v>
              </c:pt>
              <c:pt idx="8">
                <c:v>9</c:v>
              </c:pt>
              <c:pt idx="9">
                <c:v>10</c:v>
              </c:pt>
            </c:numLit>
          </c:cat>
          <c:val>
            <c:numLit>
              <c:formatCode>General</c:formatCode>
              <c:ptCount val="10"/>
              <c:pt idx="0">
                <c:v>650000</c:v>
              </c:pt>
              <c:pt idx="1">
                <c:v>18690000</c:v>
              </c:pt>
              <c:pt idx="2">
                <c:v>36226885</c:v>
              </c:pt>
              <c:pt idx="3">
                <c:v>58707487</c:v>
              </c:pt>
              <c:pt idx="4">
                <c:v>42610000</c:v>
              </c:pt>
              <c:pt idx="5">
                <c:v>28986113</c:v>
              </c:pt>
              <c:pt idx="6">
                <c:v>5250000</c:v>
              </c:pt>
              <c:pt idx="7">
                <c:v>20919960</c:v>
              </c:pt>
              <c:pt idx="8">
                <c:v>87790000</c:v>
              </c:pt>
              <c:pt idx="9">
                <c:v>2850000</c:v>
              </c:pt>
            </c:numLit>
          </c:val>
          <c:extLst>
            <c:ext xmlns:c16="http://schemas.microsoft.com/office/drawing/2014/chart" uri="{C3380CC4-5D6E-409C-BE32-E72D297353CC}">
              <c16:uniqueId val="{00000000-52A2-4730-B618-B0F6B86EE742}"/>
            </c:ext>
          </c:extLst>
        </c:ser>
        <c:dLbls>
          <c:showLegendKey val="0"/>
          <c:showVal val="0"/>
          <c:showCatName val="0"/>
          <c:showSerName val="0"/>
          <c:showPercent val="0"/>
          <c:showBubbleSize val="0"/>
        </c:dLbls>
        <c:axId val="1808611519"/>
        <c:axId val="1808611935"/>
      </c:areaChart>
      <c:catAx>
        <c:axId val="1808611519"/>
        <c:scaling>
          <c:orientation val="minMax"/>
        </c:scaling>
        <c:delete val="1"/>
        <c:axPos val="b"/>
        <c:numFmt formatCode="General" sourceLinked="1"/>
        <c:majorTickMark val="out"/>
        <c:minorTickMark val="none"/>
        <c:tickLblPos val="nextTo"/>
        <c:crossAx val="1808611935"/>
        <c:crosses val="autoZero"/>
        <c:auto val="1"/>
        <c:lblAlgn val="ctr"/>
        <c:lblOffset val="100"/>
        <c:noMultiLvlLbl val="0"/>
      </c:catAx>
      <c:valAx>
        <c:axId val="1808611935"/>
        <c:scaling>
          <c:orientation val="minMax"/>
        </c:scaling>
        <c:delete val="1"/>
        <c:axPos val="l"/>
        <c:numFmt formatCode="General" sourceLinked="1"/>
        <c:majorTickMark val="none"/>
        <c:minorTickMark val="none"/>
        <c:tickLblPos val="nextTo"/>
        <c:crossAx val="18086115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Project_Submission.xlsx]Analysis!PivotTable54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a:t>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Analysis!$C$25</c:f>
              <c:strCache>
                <c:ptCount val="1"/>
                <c:pt idx="0">
                  <c:v>Total</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Analysis!$B$26:$B$30</c:f>
              <c:strCache>
                <c:ptCount val="4"/>
                <c:pt idx="0">
                  <c:v>East</c:v>
                </c:pt>
                <c:pt idx="1">
                  <c:v>South</c:v>
                </c:pt>
                <c:pt idx="2">
                  <c:v>West</c:v>
                </c:pt>
                <c:pt idx="3">
                  <c:v>North</c:v>
                </c:pt>
              </c:strCache>
            </c:strRef>
          </c:cat>
          <c:val>
            <c:numRef>
              <c:f>Analysis!$C$26:$C$30</c:f>
              <c:numCache>
                <c:formatCode>[$₦-46A]#.0,,"m"</c:formatCode>
                <c:ptCount val="4"/>
                <c:pt idx="0">
                  <c:v>75120000</c:v>
                </c:pt>
                <c:pt idx="1">
                  <c:v>57110000</c:v>
                </c:pt>
                <c:pt idx="2">
                  <c:v>45855000</c:v>
                </c:pt>
                <c:pt idx="3">
                  <c:v>39490000</c:v>
                </c:pt>
              </c:numCache>
            </c:numRef>
          </c:val>
          <c:extLst>
            <c:ext xmlns:c16="http://schemas.microsoft.com/office/drawing/2014/chart" uri="{C3380CC4-5D6E-409C-BE32-E72D297353CC}">
              <c16:uniqueId val="{00000006-1B9D-4854-9418-09791FBA4E3B}"/>
            </c:ext>
          </c:extLst>
        </c:ser>
        <c:dLbls>
          <c:dLblPos val="outEnd"/>
          <c:showLegendKey val="0"/>
          <c:showVal val="1"/>
          <c:showCatName val="0"/>
          <c:showSerName val="0"/>
          <c:showPercent val="0"/>
          <c:showBubbleSize val="0"/>
        </c:dLbls>
        <c:gapWidth val="100"/>
        <c:overlap val="-24"/>
        <c:axId val="1909645279"/>
        <c:axId val="1909649023"/>
      </c:barChart>
      <c:catAx>
        <c:axId val="19096452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649023"/>
        <c:crosses val="autoZero"/>
        <c:auto val="1"/>
        <c:lblAlgn val="ctr"/>
        <c:lblOffset val="100"/>
        <c:noMultiLvlLbl val="0"/>
      </c:catAx>
      <c:valAx>
        <c:axId val="1909649023"/>
        <c:scaling>
          <c:orientation val="minMax"/>
        </c:scaling>
        <c:delete val="1"/>
        <c:axPos val="l"/>
        <c:numFmt formatCode="[$₦-46A]#.0,,&quot;m&quot;" sourceLinked="1"/>
        <c:majorTickMark val="none"/>
        <c:minorTickMark val="none"/>
        <c:tickLblPos val="nextTo"/>
        <c:crossAx val="1909645279"/>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Project_Submission.xlsx]Analysis!PivotTable64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 Sold</a:t>
            </a:r>
          </a:p>
          <a:p>
            <a:pPr>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0"/>
              <c:y val="-7.51822688830569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1.1299430001588161E-2"/>
              <c:y val="-1.49256342957130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5.6497150007940745E-3"/>
              <c:y val="1.47039953339165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0"/>
              <c:y val="-1.108194808982889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401869158878503E-2"/>
          <c:y val="0.17632822869665726"/>
          <c:w val="0.89719626168224298"/>
          <c:h val="0.67851529666574373"/>
        </c:manualLayout>
      </c:layout>
      <c:barChart>
        <c:barDir val="col"/>
        <c:grouping val="clustered"/>
        <c:varyColors val="0"/>
        <c:ser>
          <c:idx val="0"/>
          <c:order val="0"/>
          <c:tx>
            <c:strRef>
              <c:f>Analysis!$G$25</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3-5B6C-4B56-A957-21B154CA7967}"/>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4-5B6C-4B56-A957-21B154CA7967}"/>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2-5B6C-4B56-A957-21B154CA7967}"/>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5-5B6C-4B56-A957-21B154CA7967}"/>
              </c:ext>
            </c:extLst>
          </c:dPt>
          <c:dLbls>
            <c:dLbl>
              <c:idx val="0"/>
              <c:layout>
                <c:manualLayout>
                  <c:x val="-1.1299430001588161E-2"/>
                  <c:y val="-1.492563429571303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6C-4B56-A957-21B154CA7967}"/>
                </c:ext>
              </c:extLst>
            </c:dLbl>
            <c:dLbl>
              <c:idx val="1"/>
              <c:layout>
                <c:manualLayout>
                  <c:x val="-5.6497150007940745E-3"/>
                  <c:y val="1.47039953339165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6C-4B56-A957-21B154CA7967}"/>
                </c:ext>
              </c:extLst>
            </c:dLbl>
            <c:dLbl>
              <c:idx val="2"/>
              <c:layout>
                <c:manualLayout>
                  <c:x val="0"/>
                  <c:y val="-7.518226888305696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6C-4B56-A957-21B154CA7967}"/>
                </c:ext>
              </c:extLst>
            </c:dLbl>
            <c:dLbl>
              <c:idx val="3"/>
              <c:layout>
                <c:manualLayout>
                  <c:x val="0"/>
                  <c:y val="-1.1081948089828896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6C-4B56-A957-21B154CA79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Analysis!$F$26:$F$30</c:f>
              <c:strCache>
                <c:ptCount val="4"/>
                <c:pt idx="0">
                  <c:v>East</c:v>
                </c:pt>
                <c:pt idx="1">
                  <c:v>North</c:v>
                </c:pt>
                <c:pt idx="2">
                  <c:v>South</c:v>
                </c:pt>
                <c:pt idx="3">
                  <c:v>West</c:v>
                </c:pt>
              </c:strCache>
            </c:strRef>
          </c:cat>
          <c:val>
            <c:numRef>
              <c:f>Analysis!$G$26:$G$30</c:f>
              <c:numCache>
                <c:formatCode>_(* #,##0_);_(* \(#,##0\);_(* "-"??_);_(@_)</c:formatCode>
                <c:ptCount val="4"/>
                <c:pt idx="0">
                  <c:v>430</c:v>
                </c:pt>
                <c:pt idx="1">
                  <c:v>196</c:v>
                </c:pt>
                <c:pt idx="2">
                  <c:v>292</c:v>
                </c:pt>
                <c:pt idx="3">
                  <c:v>223</c:v>
                </c:pt>
              </c:numCache>
            </c:numRef>
          </c:val>
          <c:extLst>
            <c:ext xmlns:c16="http://schemas.microsoft.com/office/drawing/2014/chart" uri="{C3380CC4-5D6E-409C-BE32-E72D297353CC}">
              <c16:uniqueId val="{00000000-5B6C-4B56-A957-21B154CA7967}"/>
            </c:ext>
          </c:extLst>
        </c:ser>
        <c:dLbls>
          <c:dLblPos val="inEnd"/>
          <c:showLegendKey val="0"/>
          <c:showVal val="1"/>
          <c:showCatName val="0"/>
          <c:showSerName val="0"/>
          <c:showPercent val="0"/>
          <c:showBubbleSize val="0"/>
        </c:dLbls>
        <c:gapWidth val="219"/>
        <c:overlap val="-27"/>
        <c:axId val="981591631"/>
        <c:axId val="981572495"/>
      </c:barChart>
      <c:catAx>
        <c:axId val="98159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572495"/>
        <c:crosses val="autoZero"/>
        <c:auto val="1"/>
        <c:lblAlgn val="ctr"/>
        <c:lblOffset val="100"/>
        <c:noMultiLvlLbl val="0"/>
      </c:catAx>
      <c:valAx>
        <c:axId val="981572495"/>
        <c:scaling>
          <c:orientation val="minMax"/>
        </c:scaling>
        <c:delete val="1"/>
        <c:axPos val="l"/>
        <c:numFmt formatCode="_(* #,##0_);_(* \(#,##0\);_(* &quot;-&quot;??_);_(@_)" sourceLinked="1"/>
        <c:majorTickMark val="none"/>
        <c:minorTickMark val="none"/>
        <c:tickLblPos val="nextTo"/>
        <c:crossAx val="981591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Project_Submission.xlsx]Analysis!PivotTable67</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0"/>
              <a:t>Revenue</a:t>
            </a:r>
          </a:p>
        </c:rich>
      </c:tx>
      <c:layout>
        <c:manualLayout>
          <c:xMode val="edge"/>
          <c:yMode val="edge"/>
          <c:x val="0.35364102564102562"/>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Analysis!$C$51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Analysis!$B$52:$B$58</c:f>
              <c:strCache>
                <c:ptCount val="6"/>
                <c:pt idx="0">
                  <c:v>Audio</c:v>
                </c:pt>
                <c:pt idx="1">
                  <c:v>Computers</c:v>
                </c:pt>
                <c:pt idx="2">
                  <c:v>Electronics</c:v>
                </c:pt>
                <c:pt idx="3">
                  <c:v>Mobile</c:v>
                </c:pt>
                <c:pt idx="4">
                  <c:v>Peripherals</c:v>
                </c:pt>
                <c:pt idx="5">
                  <c:v>Photography</c:v>
                </c:pt>
              </c:strCache>
            </c:strRef>
          </c:cat>
          <c:val>
            <c:numRef>
              <c:f>Analysis!$C$52:$C$58</c:f>
              <c:numCache>
                <c:formatCode>[$₦-46A]#.0,,"m"</c:formatCode>
                <c:ptCount val="6"/>
                <c:pt idx="0">
                  <c:v>8925000</c:v>
                </c:pt>
                <c:pt idx="1">
                  <c:v>47750000</c:v>
                </c:pt>
                <c:pt idx="2">
                  <c:v>75250000</c:v>
                </c:pt>
                <c:pt idx="3">
                  <c:v>48660000</c:v>
                </c:pt>
                <c:pt idx="4">
                  <c:v>11440000</c:v>
                </c:pt>
                <c:pt idx="5">
                  <c:v>25550000</c:v>
                </c:pt>
              </c:numCache>
            </c:numRef>
          </c:val>
          <c:extLst>
            <c:ext xmlns:c16="http://schemas.microsoft.com/office/drawing/2014/chart" uri="{C3380CC4-5D6E-409C-BE32-E72D297353CC}">
              <c16:uniqueId val="{00000000-753F-402B-91D4-21359A704077}"/>
            </c:ext>
          </c:extLst>
        </c:ser>
        <c:dLbls>
          <c:dLblPos val="outEnd"/>
          <c:showLegendKey val="0"/>
          <c:showVal val="1"/>
          <c:showCatName val="0"/>
          <c:showSerName val="0"/>
          <c:showPercent val="0"/>
          <c:showBubbleSize val="0"/>
        </c:dLbls>
        <c:gapWidth val="100"/>
        <c:overlap val="-24"/>
        <c:axId val="1911956607"/>
        <c:axId val="1911961183"/>
      </c:barChart>
      <c:catAx>
        <c:axId val="19119566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961183"/>
        <c:crosses val="autoZero"/>
        <c:auto val="1"/>
        <c:lblAlgn val="ctr"/>
        <c:lblOffset val="100"/>
        <c:noMultiLvlLbl val="0"/>
      </c:catAx>
      <c:valAx>
        <c:axId val="1911961183"/>
        <c:scaling>
          <c:orientation val="minMax"/>
        </c:scaling>
        <c:delete val="1"/>
        <c:axPos val="l"/>
        <c:numFmt formatCode="[$₦-46A]#.0,,&quot;m&quot;" sourceLinked="1"/>
        <c:majorTickMark val="none"/>
        <c:minorTickMark val="none"/>
        <c:tickLblPos val="nextTo"/>
        <c:crossAx val="1911956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Project_Submission.xlsx]Analysis!PivotTable70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Analysis!$N$51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Analysis!$M$52:$M$58</c:f>
              <c:strCache>
                <c:ptCount val="6"/>
                <c:pt idx="0">
                  <c:v>Mobile</c:v>
                </c:pt>
                <c:pt idx="1">
                  <c:v>Electronics</c:v>
                </c:pt>
                <c:pt idx="2">
                  <c:v>Computers</c:v>
                </c:pt>
                <c:pt idx="3">
                  <c:v>Peripherals</c:v>
                </c:pt>
                <c:pt idx="4">
                  <c:v>Photography</c:v>
                </c:pt>
                <c:pt idx="5">
                  <c:v>Audio</c:v>
                </c:pt>
              </c:strCache>
            </c:strRef>
          </c:cat>
          <c:val>
            <c:numRef>
              <c:f>Analysis!$N$52:$N$58</c:f>
              <c:numCache>
                <c:formatCode>_(* #,##0_);_(* \(#,##0\);_(* "-"??_);_(@_)</c:formatCode>
                <c:ptCount val="6"/>
                <c:pt idx="0">
                  <c:v>308</c:v>
                </c:pt>
                <c:pt idx="1">
                  <c:v>215</c:v>
                </c:pt>
                <c:pt idx="2">
                  <c:v>191</c:v>
                </c:pt>
                <c:pt idx="3">
                  <c:v>176</c:v>
                </c:pt>
                <c:pt idx="4">
                  <c:v>146</c:v>
                </c:pt>
                <c:pt idx="5">
                  <c:v>105</c:v>
                </c:pt>
              </c:numCache>
            </c:numRef>
          </c:val>
          <c:extLst>
            <c:ext xmlns:c16="http://schemas.microsoft.com/office/drawing/2014/chart" uri="{C3380CC4-5D6E-409C-BE32-E72D297353CC}">
              <c16:uniqueId val="{00000000-461A-4E69-84CC-8CA7F534824C}"/>
            </c:ext>
          </c:extLst>
        </c:ser>
        <c:dLbls>
          <c:dLblPos val="outEnd"/>
          <c:showLegendKey val="0"/>
          <c:showVal val="1"/>
          <c:showCatName val="0"/>
          <c:showSerName val="0"/>
          <c:showPercent val="0"/>
          <c:showBubbleSize val="0"/>
        </c:dLbls>
        <c:gapWidth val="219"/>
        <c:overlap val="-27"/>
        <c:axId val="1909652767"/>
        <c:axId val="1909640287"/>
      </c:barChart>
      <c:catAx>
        <c:axId val="190965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640287"/>
        <c:crosses val="autoZero"/>
        <c:auto val="1"/>
        <c:lblAlgn val="ctr"/>
        <c:lblOffset val="100"/>
        <c:noMultiLvlLbl val="0"/>
      </c:catAx>
      <c:valAx>
        <c:axId val="1909640287"/>
        <c:scaling>
          <c:orientation val="minMax"/>
        </c:scaling>
        <c:delete val="1"/>
        <c:axPos val="l"/>
        <c:numFmt formatCode="_(* #,##0_);_(* \(#,##0\);_(* &quot;-&quot;??_);_(@_)" sourceLinked="1"/>
        <c:majorTickMark val="none"/>
        <c:minorTickMark val="none"/>
        <c:tickLblPos val="nextTo"/>
        <c:crossAx val="1909652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Project_Submission.xlsx]Analysis!PivotTable60</c:name>
    <c:fmtId val="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Analysis!$J$36:$J$39</c:f>
              <c:strCache>
                <c:ptCount val="3"/>
                <c:pt idx="0">
                  <c:v>Chinedu Nwosu</c:v>
                </c:pt>
                <c:pt idx="1">
                  <c:v>Fola Balogun</c:v>
                </c:pt>
                <c:pt idx="2">
                  <c:v>Grace Amos</c:v>
                </c:pt>
              </c:strCache>
            </c:strRef>
          </c:cat>
          <c:val>
            <c:numRef>
              <c:f>Analysis!$K$36:$K$39</c:f>
              <c:numCache>
                <c:formatCode>[$₦-46A]#.0,,"m"</c:formatCode>
                <c:ptCount val="3"/>
                <c:pt idx="0">
                  <c:v>47820000</c:v>
                </c:pt>
                <c:pt idx="1">
                  <c:v>34020000</c:v>
                </c:pt>
                <c:pt idx="2">
                  <c:v>32080000</c:v>
                </c:pt>
              </c:numCache>
            </c:numRef>
          </c:val>
          <c:extLst>
            <c:ext xmlns:c16="http://schemas.microsoft.com/office/drawing/2014/chart" uri="{C3380CC4-5D6E-409C-BE32-E72D297353CC}">
              <c16:uniqueId val="{00000000-62A3-469F-B155-4BF1CEFD1C5D}"/>
            </c:ext>
          </c:extLst>
        </c:ser>
        <c:dLbls>
          <c:dLblPos val="outEnd"/>
          <c:showLegendKey val="0"/>
          <c:showVal val="1"/>
          <c:showCatName val="0"/>
          <c:showSerName val="0"/>
          <c:showPercent val="0"/>
          <c:showBubbleSize val="0"/>
        </c:dLbls>
        <c:gapWidth val="100"/>
        <c:overlap val="-24"/>
        <c:axId val="2067660847"/>
        <c:axId val="2067665423"/>
      </c:barChart>
      <c:catAx>
        <c:axId val="20676608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665423"/>
        <c:crosses val="autoZero"/>
        <c:auto val="1"/>
        <c:lblAlgn val="ctr"/>
        <c:lblOffset val="100"/>
        <c:noMultiLvlLbl val="0"/>
      </c:catAx>
      <c:valAx>
        <c:axId val="2067665423"/>
        <c:scaling>
          <c:orientation val="minMax"/>
        </c:scaling>
        <c:delete val="1"/>
        <c:axPos val="l"/>
        <c:numFmt formatCode="[$₦-46A]#.0,,&quot;m&quot;" sourceLinked="1"/>
        <c:majorTickMark val="none"/>
        <c:minorTickMark val="none"/>
        <c:tickLblPos val="nextTo"/>
        <c:crossAx val="206766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Project_Submission.xlsx]Analysis!PivotTable48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67877144331474"/>
          <c:y val="7.6000036993575631E-2"/>
          <c:w val="0.77067140678460944"/>
          <c:h val="0.80235693740282032"/>
        </c:manualLayout>
      </c:layout>
      <c:barChart>
        <c:barDir val="bar"/>
        <c:grouping val="clustered"/>
        <c:varyColors val="0"/>
        <c:ser>
          <c:idx val="0"/>
          <c:order val="0"/>
          <c:tx>
            <c:strRef>
              <c:f>Analysis!$E$3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Analysis!$D$4:$D$14</c:f>
              <c:multiLvlStrCache>
                <c:ptCount val="7"/>
                <c:lvl>
                  <c:pt idx="0">
                    <c:v>Aug</c:v>
                  </c:pt>
                  <c:pt idx="1">
                    <c:v>Apr</c:v>
                  </c:pt>
                  <c:pt idx="2">
                    <c:v>May</c:v>
                  </c:pt>
                  <c:pt idx="3">
                    <c:v>Jun</c:v>
                  </c:pt>
                  <c:pt idx="4">
                    <c:v>Jan</c:v>
                  </c:pt>
                  <c:pt idx="5">
                    <c:v>Feb</c:v>
                  </c:pt>
                  <c:pt idx="6">
                    <c:v>Mar</c:v>
                  </c:pt>
                </c:lvl>
                <c:lvl>
                  <c:pt idx="0">
                    <c:v>Qtr3</c:v>
                  </c:pt>
                  <c:pt idx="1">
                    <c:v>Qtr2</c:v>
                  </c:pt>
                  <c:pt idx="4">
                    <c:v>Qtr1</c:v>
                  </c:pt>
                </c:lvl>
              </c:multiLvlStrCache>
            </c:multiLvlStrRef>
          </c:cat>
          <c:val>
            <c:numRef>
              <c:f>Analysis!$E$4:$E$14</c:f>
              <c:numCache>
                <c:formatCode>_-[$₦-46A]* #,##0.0_-;\-[$₦-46A]* #,##0.0_-;_-[$₦-46A]* "-"?_-;_-@_-</c:formatCode>
                <c:ptCount val="7"/>
                <c:pt idx="0">
                  <c:v>2100000</c:v>
                </c:pt>
                <c:pt idx="1">
                  <c:v>22195000</c:v>
                </c:pt>
                <c:pt idx="2">
                  <c:v>32285000</c:v>
                </c:pt>
                <c:pt idx="3">
                  <c:v>34095000</c:v>
                </c:pt>
                <c:pt idx="4">
                  <c:v>57295000</c:v>
                </c:pt>
                <c:pt idx="5">
                  <c:v>50735000</c:v>
                </c:pt>
                <c:pt idx="6">
                  <c:v>18870000</c:v>
                </c:pt>
              </c:numCache>
            </c:numRef>
          </c:val>
          <c:extLst>
            <c:ext xmlns:c16="http://schemas.microsoft.com/office/drawing/2014/chart" uri="{C3380CC4-5D6E-409C-BE32-E72D297353CC}">
              <c16:uniqueId val="{00000000-431F-484A-B9E8-517BCBAC8344}"/>
            </c:ext>
          </c:extLst>
        </c:ser>
        <c:dLbls>
          <c:dLblPos val="outEnd"/>
          <c:showLegendKey val="0"/>
          <c:showVal val="1"/>
          <c:showCatName val="0"/>
          <c:showSerName val="0"/>
          <c:showPercent val="0"/>
          <c:showBubbleSize val="0"/>
        </c:dLbls>
        <c:gapWidth val="219"/>
        <c:axId val="1477585872"/>
        <c:axId val="1351794848"/>
      </c:barChart>
      <c:valAx>
        <c:axId val="1351794848"/>
        <c:scaling>
          <c:orientation val="minMax"/>
        </c:scaling>
        <c:delete val="1"/>
        <c:axPos val="b"/>
        <c:numFmt formatCode="_-[$₦-46A]* #,##0.0_-;\-[$₦-46A]* #,##0.0_-;_-[$₦-46A]* &quot;-&quot;?_-;_-@_-" sourceLinked="1"/>
        <c:majorTickMark val="none"/>
        <c:minorTickMark val="none"/>
        <c:tickLblPos val="nextTo"/>
        <c:crossAx val="1477585872"/>
        <c:crosses val="autoZero"/>
        <c:crossBetween val="between"/>
      </c:valAx>
      <c:catAx>
        <c:axId val="147758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79484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Project_Submission.xlsx]Analysis!PivotTable76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Analysis!$H$74:$H$77</c:f>
              <c:strCache>
                <c:ptCount val="3"/>
                <c:pt idx="0">
                  <c:v>Omega Wholesale</c:v>
                </c:pt>
                <c:pt idx="1">
                  <c:v>Musa Enterprises</c:v>
                </c:pt>
                <c:pt idx="2">
                  <c:v>Femi Tech</c:v>
                </c:pt>
              </c:strCache>
            </c:strRef>
          </c:cat>
          <c:val>
            <c:numRef>
              <c:f>Analysis!$I$74:$I$77</c:f>
              <c:numCache>
                <c:formatCode>[$₦-46A]#.0,,"m"</c:formatCode>
                <c:ptCount val="3"/>
                <c:pt idx="0">
                  <c:v>25700000</c:v>
                </c:pt>
                <c:pt idx="1">
                  <c:v>27620000</c:v>
                </c:pt>
                <c:pt idx="2">
                  <c:v>31180000</c:v>
                </c:pt>
              </c:numCache>
            </c:numRef>
          </c:val>
          <c:extLst>
            <c:ext xmlns:c16="http://schemas.microsoft.com/office/drawing/2014/chart" uri="{C3380CC4-5D6E-409C-BE32-E72D297353CC}">
              <c16:uniqueId val="{00000000-B753-408F-B1AB-6A2FB5249E4C}"/>
            </c:ext>
          </c:extLst>
        </c:ser>
        <c:dLbls>
          <c:dLblPos val="outEnd"/>
          <c:showLegendKey val="0"/>
          <c:showVal val="1"/>
          <c:showCatName val="0"/>
          <c:showSerName val="0"/>
          <c:showPercent val="0"/>
          <c:showBubbleSize val="0"/>
        </c:dLbls>
        <c:gapWidth val="219"/>
        <c:axId val="1474107712"/>
        <c:axId val="1480281200"/>
      </c:barChart>
      <c:catAx>
        <c:axId val="147410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281200"/>
        <c:crosses val="autoZero"/>
        <c:auto val="1"/>
        <c:lblAlgn val="ctr"/>
        <c:lblOffset val="100"/>
        <c:noMultiLvlLbl val="0"/>
      </c:catAx>
      <c:valAx>
        <c:axId val="1480281200"/>
        <c:scaling>
          <c:orientation val="minMax"/>
        </c:scaling>
        <c:delete val="1"/>
        <c:axPos val="b"/>
        <c:numFmt formatCode="[$₦-46A]#.0,,&quot;m&quot;" sourceLinked="1"/>
        <c:majorTickMark val="none"/>
        <c:minorTickMark val="none"/>
        <c:tickLblPos val="nextTo"/>
        <c:crossAx val="147410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Cleaned!A1"/><Relationship Id="rId7" Type="http://schemas.openxmlformats.org/officeDocument/2006/relationships/chart" Target="../charts/chart4.xml"/><Relationship Id="rId2" Type="http://schemas.openxmlformats.org/officeDocument/2006/relationships/hyperlink" Target="#Analysis!A1"/><Relationship Id="rId1" Type="http://schemas.openxmlformats.org/officeDocument/2006/relationships/hyperlink" Target="#Dashboard!A1"/><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image" Target="../media/image1.png"/><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25400</xdr:rowOff>
    </xdr:from>
    <xdr:to>
      <xdr:col>14</xdr:col>
      <xdr:colOff>19050</xdr:colOff>
      <xdr:row>9</xdr:row>
      <xdr:rowOff>25400</xdr:rowOff>
    </xdr:to>
    <xdr:sp macro="" textlink="">
      <xdr:nvSpPr>
        <xdr:cNvPr id="2" name="TextBox 1">
          <a:extLst>
            <a:ext uri="{FF2B5EF4-FFF2-40B4-BE49-F238E27FC236}">
              <a16:creationId xmlns:a16="http://schemas.microsoft.com/office/drawing/2014/main" id="{BEBDE3F9-747E-F89B-1A42-02FEE20405A0}"/>
            </a:ext>
          </a:extLst>
        </xdr:cNvPr>
        <xdr:cNvSpPr txBox="1"/>
      </xdr:nvSpPr>
      <xdr:spPr>
        <a:xfrm>
          <a:off x="241300" y="825500"/>
          <a:ext cx="7943850" cy="1104900"/>
        </a:xfrm>
        <a:prstGeom prst="rect">
          <a:avLst/>
        </a:prstGeom>
        <a:solidFill>
          <a:schemeClr val="lt1"/>
        </a:solidFill>
        <a:ln w="12700" cmpd="sng">
          <a:solidFill>
            <a:sysClr val="windowText" lastClr="000000"/>
          </a:solidFill>
          <a:prstDash val="sysDash"/>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D-Lite Electronics Ltd. operates across four major regions in Nigeria: North, South, East, and West. The company’s sales data is inconsistent and often contains errors. As a Data Analyst, your task is to clean, analyse, and visualise the data to support management decision-making leveraging</a:t>
          </a:r>
          <a:r>
            <a:rPr lang="en-US" sz="1600" baseline="0">
              <a:solidFill>
                <a:schemeClr val="dk1"/>
              </a:solidFill>
              <a:effectLst/>
              <a:latin typeface="+mn-lt"/>
              <a:ea typeface="+mn-ea"/>
              <a:cs typeface="+mn-cs"/>
            </a:rPr>
            <a:t> all the concepts learnt during the training</a:t>
          </a:r>
          <a:r>
            <a:rPr lang="en-US" sz="1600">
              <a:solidFill>
                <a:schemeClr val="dk1"/>
              </a:solidFill>
              <a:effectLst/>
              <a:latin typeface="+mn-lt"/>
              <a:ea typeface="+mn-ea"/>
              <a:cs typeface="+mn-cs"/>
            </a:rPr>
            <a:t>.</a:t>
          </a:r>
        </a:p>
        <a:p>
          <a:endParaRPr lang="en-US" sz="1600"/>
        </a:p>
      </xdr:txBody>
    </xdr:sp>
    <xdr:clientData/>
  </xdr:twoCellAnchor>
  <xdr:twoCellAnchor>
    <xdr:from>
      <xdr:col>7</xdr:col>
      <xdr:colOff>276225</xdr:colOff>
      <xdr:row>1048576</xdr:row>
      <xdr:rowOff>7291387</xdr:rowOff>
    </xdr:from>
    <xdr:to>
      <xdr:col>16384</xdr:col>
      <xdr:colOff>200025</xdr:colOff>
      <xdr:row>1048576</xdr:row>
      <xdr:rowOff>10034587</xdr:rowOff>
    </xdr:to>
    <xdr:graphicFrame macro="">
      <xdr:nvGraphicFramePr>
        <xdr:cNvPr id="3" name="Chart 7">
          <a:extLst>
            <a:ext uri="{FF2B5EF4-FFF2-40B4-BE49-F238E27FC236}">
              <a16:creationId xmlns:a16="http://schemas.microsoft.com/office/drawing/2014/main" id="{614936A4-71B3-4830-987F-3FEC03047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124689</xdr:colOff>
      <xdr:row>4</xdr:row>
      <xdr:rowOff>112570</xdr:rowOff>
    </xdr:from>
    <xdr:to>
      <xdr:col>24</xdr:col>
      <xdr:colOff>80527</xdr:colOff>
      <xdr:row>43</xdr:row>
      <xdr:rowOff>169720</xdr:rowOff>
    </xdr:to>
    <xdr:sp macro="" textlink="">
      <xdr:nvSpPr>
        <xdr:cNvPr id="2" name="Rectangle 1">
          <a:extLst>
            <a:ext uri="{FF2B5EF4-FFF2-40B4-BE49-F238E27FC236}">
              <a16:creationId xmlns:a16="http://schemas.microsoft.com/office/drawing/2014/main" id="{D587754B-3260-4BA4-BBE7-013032B5B6BC}"/>
            </a:ext>
          </a:extLst>
        </xdr:cNvPr>
        <xdr:cNvSpPr/>
      </xdr:nvSpPr>
      <xdr:spPr>
        <a:xfrm>
          <a:off x="3155371" y="874570"/>
          <a:ext cx="11472429" cy="7486650"/>
        </a:xfrm>
        <a:prstGeom prst="rect">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267370</xdr:colOff>
      <xdr:row>4</xdr:row>
      <xdr:rowOff>107832</xdr:rowOff>
    </xdr:from>
    <xdr:to>
      <xdr:col>6</xdr:col>
      <xdr:colOff>584871</xdr:colOff>
      <xdr:row>43</xdr:row>
      <xdr:rowOff>172573</xdr:rowOff>
    </xdr:to>
    <xdr:sp macro="" textlink="">
      <xdr:nvSpPr>
        <xdr:cNvPr id="4" name="Rectangle: Top Corners Rounded 3">
          <a:extLst>
            <a:ext uri="{FF2B5EF4-FFF2-40B4-BE49-F238E27FC236}">
              <a16:creationId xmlns:a16="http://schemas.microsoft.com/office/drawing/2014/main" id="{E8F97416-7A64-470C-BECF-A61CE7FF65BE}"/>
            </a:ext>
          </a:extLst>
        </xdr:cNvPr>
        <xdr:cNvSpPr/>
      </xdr:nvSpPr>
      <xdr:spPr>
        <a:xfrm rot="16200000">
          <a:off x="-244245" y="4016098"/>
          <a:ext cx="7774599" cy="1539577"/>
        </a:xfrm>
        <a:prstGeom prst="round2Same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71888</xdr:colOff>
      <xdr:row>7</xdr:row>
      <xdr:rowOff>125802</xdr:rowOff>
    </xdr:from>
    <xdr:to>
      <xdr:col>11</xdr:col>
      <xdr:colOff>161746</xdr:colOff>
      <xdr:row>14</xdr:row>
      <xdr:rowOff>107830</xdr:rowOff>
    </xdr:to>
    <xdr:sp macro="" textlink="rev">
      <xdr:nvSpPr>
        <xdr:cNvPr id="5" name="Rectangle: Rounded Corners 4">
          <a:extLst>
            <a:ext uri="{FF2B5EF4-FFF2-40B4-BE49-F238E27FC236}">
              <a16:creationId xmlns:a16="http://schemas.microsoft.com/office/drawing/2014/main" id="{B50AD43E-22FB-44F3-A536-699D5B6BD91E}"/>
            </a:ext>
          </a:extLst>
        </xdr:cNvPr>
        <xdr:cNvSpPr/>
      </xdr:nvSpPr>
      <xdr:spPr>
        <a:xfrm>
          <a:off x="4510897" y="1509623"/>
          <a:ext cx="2534009" cy="136584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0CF8DF1-B4C6-4BA5-8E85-D920E72450F1}" type="TxLink">
            <a:rPr lang="en-US" sz="1100" b="0" i="0" u="none" strike="noStrike">
              <a:solidFill>
                <a:srgbClr val="000000"/>
              </a:solidFill>
              <a:latin typeface="Calibri"/>
              <a:ea typeface="Calibri"/>
              <a:cs typeface="Calibri"/>
            </a:rPr>
            <a:pPr algn="l"/>
            <a:t>₦217.6m</a:t>
          </a:fld>
          <a:endParaRPr lang="en-US" sz="1100"/>
        </a:p>
      </xdr:txBody>
    </xdr:sp>
    <xdr:clientData/>
  </xdr:twoCellAnchor>
  <xdr:twoCellAnchor>
    <xdr:from>
      <xdr:col>15</xdr:col>
      <xdr:colOff>341462</xdr:colOff>
      <xdr:row>7</xdr:row>
      <xdr:rowOff>119758</xdr:rowOff>
    </xdr:from>
    <xdr:to>
      <xdr:col>19</xdr:col>
      <xdr:colOff>431320</xdr:colOff>
      <xdr:row>14</xdr:row>
      <xdr:rowOff>143772</xdr:rowOff>
    </xdr:to>
    <xdr:sp macro="" textlink="">
      <xdr:nvSpPr>
        <xdr:cNvPr id="7" name="Rectangle: Rounded Corners 6">
          <a:extLst>
            <a:ext uri="{FF2B5EF4-FFF2-40B4-BE49-F238E27FC236}">
              <a16:creationId xmlns:a16="http://schemas.microsoft.com/office/drawing/2014/main" id="{2184878E-EF4A-45EA-BCBF-F2D4904A4313}"/>
            </a:ext>
          </a:extLst>
        </xdr:cNvPr>
        <xdr:cNvSpPr/>
      </xdr:nvSpPr>
      <xdr:spPr>
        <a:xfrm>
          <a:off x="9668773" y="1503579"/>
          <a:ext cx="2534009" cy="140783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215661</xdr:colOff>
      <xdr:row>7</xdr:row>
      <xdr:rowOff>110412</xdr:rowOff>
    </xdr:from>
    <xdr:to>
      <xdr:col>15</xdr:col>
      <xdr:colOff>287547</xdr:colOff>
      <xdr:row>14</xdr:row>
      <xdr:rowOff>125800</xdr:rowOff>
    </xdr:to>
    <xdr:sp macro="" textlink="">
      <xdr:nvSpPr>
        <xdr:cNvPr id="9" name="Rectangle: Rounded Corners 8">
          <a:extLst>
            <a:ext uri="{FF2B5EF4-FFF2-40B4-BE49-F238E27FC236}">
              <a16:creationId xmlns:a16="http://schemas.microsoft.com/office/drawing/2014/main" id="{5F7F6090-66C2-4853-A4B4-3758E3275E2D}"/>
            </a:ext>
          </a:extLst>
        </xdr:cNvPr>
        <xdr:cNvSpPr/>
      </xdr:nvSpPr>
      <xdr:spPr>
        <a:xfrm>
          <a:off x="7098821" y="1494233"/>
          <a:ext cx="2516037" cy="139920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467263</xdr:colOff>
      <xdr:row>7</xdr:row>
      <xdr:rowOff>119758</xdr:rowOff>
    </xdr:from>
    <xdr:to>
      <xdr:col>23</xdr:col>
      <xdr:colOff>593065</xdr:colOff>
      <xdr:row>14</xdr:row>
      <xdr:rowOff>143773</xdr:rowOff>
    </xdr:to>
    <xdr:sp macro="" textlink="">
      <xdr:nvSpPr>
        <xdr:cNvPr id="11" name="Rectangle: Rounded Corners 10">
          <a:extLst>
            <a:ext uri="{FF2B5EF4-FFF2-40B4-BE49-F238E27FC236}">
              <a16:creationId xmlns:a16="http://schemas.microsoft.com/office/drawing/2014/main" id="{10A464A7-D2C6-487C-A290-F10B36D3E65D}"/>
            </a:ext>
          </a:extLst>
        </xdr:cNvPr>
        <xdr:cNvSpPr/>
      </xdr:nvSpPr>
      <xdr:spPr>
        <a:xfrm>
          <a:off x="12238725" y="1503579"/>
          <a:ext cx="2569953" cy="140783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71887</xdr:colOff>
      <xdr:row>14</xdr:row>
      <xdr:rowOff>179716</xdr:rowOff>
    </xdr:from>
    <xdr:to>
      <xdr:col>15</xdr:col>
      <xdr:colOff>395378</xdr:colOff>
      <xdr:row>27</xdr:row>
      <xdr:rowOff>179717</xdr:rowOff>
    </xdr:to>
    <xdr:sp macro="" textlink="">
      <xdr:nvSpPr>
        <xdr:cNvPr id="12" name="Rectangle: Rounded Corners 11">
          <a:extLst>
            <a:ext uri="{FF2B5EF4-FFF2-40B4-BE49-F238E27FC236}">
              <a16:creationId xmlns:a16="http://schemas.microsoft.com/office/drawing/2014/main" id="{A0B60A6F-0AA9-426A-A992-F4695DB168B7}"/>
            </a:ext>
          </a:extLst>
        </xdr:cNvPr>
        <xdr:cNvSpPr/>
      </xdr:nvSpPr>
      <xdr:spPr>
        <a:xfrm>
          <a:off x="4510896" y="2947358"/>
          <a:ext cx="5211793" cy="256995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208011</xdr:colOff>
      <xdr:row>14</xdr:row>
      <xdr:rowOff>155700</xdr:rowOff>
    </xdr:from>
    <xdr:to>
      <xdr:col>11</xdr:col>
      <xdr:colOff>172067</xdr:colOff>
      <xdr:row>21</xdr:row>
      <xdr:rowOff>101786</xdr:rowOff>
    </xdr:to>
    <xdr:sp macro="" textlink="">
      <xdr:nvSpPr>
        <xdr:cNvPr id="14" name="Rectangle: Rounded Corners 13">
          <a:extLst>
            <a:ext uri="{FF2B5EF4-FFF2-40B4-BE49-F238E27FC236}">
              <a16:creationId xmlns:a16="http://schemas.microsoft.com/office/drawing/2014/main" id="{437A8540-4B42-42E5-90B6-C8A2C88A1B06}"/>
            </a:ext>
          </a:extLst>
        </xdr:cNvPr>
        <xdr:cNvSpPr/>
      </xdr:nvSpPr>
      <xdr:spPr>
        <a:xfrm>
          <a:off x="4485275" y="2923342"/>
          <a:ext cx="2408207" cy="132990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444500</xdr:colOff>
      <xdr:row>15</xdr:row>
      <xdr:rowOff>0</xdr:rowOff>
    </xdr:from>
    <xdr:to>
      <xdr:col>24</xdr:col>
      <xdr:colOff>0</xdr:colOff>
      <xdr:row>27</xdr:row>
      <xdr:rowOff>161746</xdr:rowOff>
    </xdr:to>
    <xdr:sp macro="" textlink="">
      <xdr:nvSpPr>
        <xdr:cNvPr id="15" name="Rectangle: Rounded Corners 14">
          <a:extLst>
            <a:ext uri="{FF2B5EF4-FFF2-40B4-BE49-F238E27FC236}">
              <a16:creationId xmlns:a16="http://schemas.microsoft.com/office/drawing/2014/main" id="{8FC67ED7-49AD-44F3-B124-7837695326B7}"/>
            </a:ext>
          </a:extLst>
        </xdr:cNvPr>
        <xdr:cNvSpPr/>
      </xdr:nvSpPr>
      <xdr:spPr>
        <a:xfrm>
          <a:off x="9771811" y="2965330"/>
          <a:ext cx="5054840" cy="253401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393424</xdr:colOff>
      <xdr:row>28</xdr:row>
      <xdr:rowOff>17972</xdr:rowOff>
    </xdr:from>
    <xdr:to>
      <xdr:col>23</xdr:col>
      <xdr:colOff>593066</xdr:colOff>
      <xdr:row>42</xdr:row>
      <xdr:rowOff>-1</xdr:rowOff>
    </xdr:to>
    <xdr:sp macro="" textlink="">
      <xdr:nvSpPr>
        <xdr:cNvPr id="17" name="Rectangle: Rounded Corners 16">
          <a:extLst>
            <a:ext uri="{FF2B5EF4-FFF2-40B4-BE49-F238E27FC236}">
              <a16:creationId xmlns:a16="http://schemas.microsoft.com/office/drawing/2014/main" id="{9F14FDC3-157E-4970-A9E4-545232C47DAB}"/>
            </a:ext>
          </a:extLst>
        </xdr:cNvPr>
        <xdr:cNvSpPr/>
      </xdr:nvSpPr>
      <xdr:spPr>
        <a:xfrm>
          <a:off x="9720735" y="5553255"/>
          <a:ext cx="5087944" cy="274966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71887</xdr:colOff>
      <xdr:row>28</xdr:row>
      <xdr:rowOff>53915</xdr:rowOff>
    </xdr:from>
    <xdr:to>
      <xdr:col>15</xdr:col>
      <xdr:colOff>317500</xdr:colOff>
      <xdr:row>41</xdr:row>
      <xdr:rowOff>161744</xdr:rowOff>
    </xdr:to>
    <xdr:sp macro="" textlink="">
      <xdr:nvSpPr>
        <xdr:cNvPr id="19" name="Rectangle: Rounded Corners 18">
          <a:extLst>
            <a:ext uri="{FF2B5EF4-FFF2-40B4-BE49-F238E27FC236}">
              <a16:creationId xmlns:a16="http://schemas.microsoft.com/office/drawing/2014/main" id="{77FEB768-EEF1-484D-8C24-D14DFF0E7106}"/>
            </a:ext>
          </a:extLst>
        </xdr:cNvPr>
        <xdr:cNvSpPr/>
      </xdr:nvSpPr>
      <xdr:spPr>
        <a:xfrm>
          <a:off x="4510896" y="5589198"/>
          <a:ext cx="5133915" cy="2677782"/>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143774</xdr:colOff>
      <xdr:row>7</xdr:row>
      <xdr:rowOff>179716</xdr:rowOff>
    </xdr:from>
    <xdr:to>
      <xdr:col>9</xdr:col>
      <xdr:colOff>359434</xdr:colOff>
      <xdr:row>9</xdr:row>
      <xdr:rowOff>179717</xdr:rowOff>
    </xdr:to>
    <xdr:sp macro="" textlink="">
      <xdr:nvSpPr>
        <xdr:cNvPr id="20" name="TextBox 19">
          <a:extLst>
            <a:ext uri="{FF2B5EF4-FFF2-40B4-BE49-F238E27FC236}">
              <a16:creationId xmlns:a16="http://schemas.microsoft.com/office/drawing/2014/main" id="{94C1148F-E167-400E-A4DB-5CCCDEE624E5}"/>
            </a:ext>
          </a:extLst>
        </xdr:cNvPr>
        <xdr:cNvSpPr txBox="1"/>
      </xdr:nvSpPr>
      <xdr:spPr>
        <a:xfrm>
          <a:off x="4582783" y="1563537"/>
          <a:ext cx="1437736" cy="3953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REVENUE</a:t>
          </a:r>
        </a:p>
      </xdr:txBody>
    </xdr:sp>
    <xdr:clientData/>
  </xdr:twoCellAnchor>
  <xdr:twoCellAnchor>
    <xdr:from>
      <xdr:col>11</xdr:col>
      <xdr:colOff>312400</xdr:colOff>
      <xdr:row>8</xdr:row>
      <xdr:rowOff>35944</xdr:rowOff>
    </xdr:from>
    <xdr:to>
      <xdr:col>14</xdr:col>
      <xdr:colOff>323490</xdr:colOff>
      <xdr:row>10</xdr:row>
      <xdr:rowOff>76200</xdr:rowOff>
    </xdr:to>
    <xdr:sp macro="" textlink="">
      <xdr:nvSpPr>
        <xdr:cNvPr id="22" name="TextBox 21">
          <a:extLst>
            <a:ext uri="{FF2B5EF4-FFF2-40B4-BE49-F238E27FC236}">
              <a16:creationId xmlns:a16="http://schemas.microsoft.com/office/drawing/2014/main" id="{23F7E2DB-1BF2-4B8C-8C03-E2FC22B8FFAD}"/>
            </a:ext>
          </a:extLst>
        </xdr:cNvPr>
        <xdr:cNvSpPr txBox="1"/>
      </xdr:nvSpPr>
      <xdr:spPr>
        <a:xfrm>
          <a:off x="7195560" y="1617453"/>
          <a:ext cx="1844204" cy="4356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UNIT</a:t>
          </a:r>
          <a:r>
            <a:rPr lang="en-US" sz="1400" b="1" baseline="0"/>
            <a:t> SOLD</a:t>
          </a:r>
          <a:endParaRPr lang="en-US" sz="1400" b="1"/>
        </a:p>
      </xdr:txBody>
    </xdr:sp>
    <xdr:clientData/>
  </xdr:twoCellAnchor>
  <xdr:twoCellAnchor>
    <xdr:from>
      <xdr:col>15</xdr:col>
      <xdr:colOff>463056</xdr:colOff>
      <xdr:row>8</xdr:row>
      <xdr:rowOff>47872</xdr:rowOff>
    </xdr:from>
    <xdr:to>
      <xdr:col>18</xdr:col>
      <xdr:colOff>247649</xdr:colOff>
      <xdr:row>9</xdr:row>
      <xdr:rowOff>133349</xdr:rowOff>
    </xdr:to>
    <xdr:sp macro="" textlink="">
      <xdr:nvSpPr>
        <xdr:cNvPr id="24" name="TextBox 23">
          <a:extLst>
            <a:ext uri="{FF2B5EF4-FFF2-40B4-BE49-F238E27FC236}">
              <a16:creationId xmlns:a16="http://schemas.microsoft.com/office/drawing/2014/main" id="{7D3F9CD7-89B2-492D-B647-84308F10E07E}"/>
            </a:ext>
          </a:extLst>
        </xdr:cNvPr>
        <xdr:cNvSpPr txBox="1"/>
      </xdr:nvSpPr>
      <xdr:spPr>
        <a:xfrm>
          <a:off x="9778506" y="1571872"/>
          <a:ext cx="1613393" cy="2759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SALES REP</a:t>
          </a:r>
        </a:p>
      </xdr:txBody>
    </xdr:sp>
    <xdr:clientData/>
  </xdr:twoCellAnchor>
  <xdr:twoCellAnchor>
    <xdr:from>
      <xdr:col>19</xdr:col>
      <xdr:colOff>513532</xdr:colOff>
      <xdr:row>8</xdr:row>
      <xdr:rowOff>29900</xdr:rowOff>
    </xdr:from>
    <xdr:to>
      <xdr:col>22</xdr:col>
      <xdr:colOff>419100</xdr:colOff>
      <xdr:row>9</xdr:row>
      <xdr:rowOff>133350</xdr:rowOff>
    </xdr:to>
    <xdr:sp macro="" textlink="">
      <xdr:nvSpPr>
        <xdr:cNvPr id="25" name="TextBox 24">
          <a:extLst>
            <a:ext uri="{FF2B5EF4-FFF2-40B4-BE49-F238E27FC236}">
              <a16:creationId xmlns:a16="http://schemas.microsoft.com/office/drawing/2014/main" id="{CFBBFE69-FA85-4D05-A2C6-0DBC78908D74}"/>
            </a:ext>
          </a:extLst>
        </xdr:cNvPr>
        <xdr:cNvSpPr txBox="1"/>
      </xdr:nvSpPr>
      <xdr:spPr>
        <a:xfrm>
          <a:off x="12267382" y="1553900"/>
          <a:ext cx="1734368" cy="293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           CUSTOMERS</a:t>
          </a:r>
        </a:p>
      </xdr:txBody>
    </xdr:sp>
    <xdr:clientData/>
  </xdr:twoCellAnchor>
  <xdr:twoCellAnchor>
    <xdr:from>
      <xdr:col>7</xdr:col>
      <xdr:colOff>266700</xdr:colOff>
      <xdr:row>15</xdr:row>
      <xdr:rowOff>71887</xdr:rowOff>
    </xdr:from>
    <xdr:to>
      <xdr:col>10</xdr:col>
      <xdr:colOff>413349</xdr:colOff>
      <xdr:row>17</xdr:row>
      <xdr:rowOff>35943</xdr:rowOff>
    </xdr:to>
    <xdr:sp macro="" textlink="">
      <xdr:nvSpPr>
        <xdr:cNvPr id="26" name="TextBox 25">
          <a:extLst>
            <a:ext uri="{FF2B5EF4-FFF2-40B4-BE49-F238E27FC236}">
              <a16:creationId xmlns:a16="http://schemas.microsoft.com/office/drawing/2014/main" id="{D5C9E630-DFDC-4840-A60E-F7F3AB58A203}"/>
            </a:ext>
          </a:extLst>
        </xdr:cNvPr>
        <xdr:cNvSpPr txBox="1"/>
      </xdr:nvSpPr>
      <xdr:spPr>
        <a:xfrm>
          <a:off x="4705709" y="3037217"/>
          <a:ext cx="1979763" cy="3594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t>SALES by Location</a:t>
          </a:r>
        </a:p>
        <a:p>
          <a:endParaRPr lang="en-US" sz="1400" b="1"/>
        </a:p>
      </xdr:txBody>
    </xdr:sp>
    <xdr:clientData/>
  </xdr:twoCellAnchor>
  <xdr:twoCellAnchor>
    <xdr:from>
      <xdr:col>16</xdr:col>
      <xdr:colOff>20707</xdr:colOff>
      <xdr:row>15</xdr:row>
      <xdr:rowOff>103533</xdr:rowOff>
    </xdr:from>
    <xdr:to>
      <xdr:col>21</xdr:col>
      <xdr:colOff>521179</xdr:colOff>
      <xdr:row>17</xdr:row>
      <xdr:rowOff>1</xdr:rowOff>
    </xdr:to>
    <xdr:sp macro="" textlink="">
      <xdr:nvSpPr>
        <xdr:cNvPr id="28" name="TextBox 27">
          <a:extLst>
            <a:ext uri="{FF2B5EF4-FFF2-40B4-BE49-F238E27FC236}">
              <a16:creationId xmlns:a16="http://schemas.microsoft.com/office/drawing/2014/main" id="{10FB9784-44C0-403D-A3A7-3D3771D94370}"/>
            </a:ext>
          </a:extLst>
        </xdr:cNvPr>
        <xdr:cNvSpPr txBox="1"/>
      </xdr:nvSpPr>
      <xdr:spPr>
        <a:xfrm>
          <a:off x="9794185" y="2898913"/>
          <a:ext cx="3502918" cy="2691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t>SALES by Product Category</a:t>
          </a:r>
        </a:p>
        <a:p>
          <a:endParaRPr lang="en-US" sz="1400" b="1" baseline="0"/>
        </a:p>
        <a:p>
          <a:endParaRPr lang="en-US" sz="1400" b="1"/>
        </a:p>
      </xdr:txBody>
    </xdr:sp>
    <xdr:clientData/>
  </xdr:twoCellAnchor>
  <xdr:twoCellAnchor>
    <xdr:from>
      <xdr:col>7</xdr:col>
      <xdr:colOff>360414</xdr:colOff>
      <xdr:row>28</xdr:row>
      <xdr:rowOff>143774</xdr:rowOff>
    </xdr:from>
    <xdr:to>
      <xdr:col>11</xdr:col>
      <xdr:colOff>372717</xdr:colOff>
      <xdr:row>30</xdr:row>
      <xdr:rowOff>107830</xdr:rowOff>
    </xdr:to>
    <xdr:sp macro="" textlink="">
      <xdr:nvSpPr>
        <xdr:cNvPr id="30" name="TextBox 29">
          <a:extLst>
            <a:ext uri="{FF2B5EF4-FFF2-40B4-BE49-F238E27FC236}">
              <a16:creationId xmlns:a16="http://schemas.microsoft.com/office/drawing/2014/main" id="{278E9A3F-FBF1-42BF-9016-AA45F8D0AE7D}"/>
            </a:ext>
          </a:extLst>
        </xdr:cNvPr>
        <xdr:cNvSpPr txBox="1"/>
      </xdr:nvSpPr>
      <xdr:spPr>
        <a:xfrm>
          <a:off x="4799423" y="5679057"/>
          <a:ext cx="2456454" cy="3594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t>Monthly and Quaterly SALES</a:t>
          </a:r>
          <a:endParaRPr lang="en-US" sz="1400" b="1"/>
        </a:p>
      </xdr:txBody>
    </xdr:sp>
    <xdr:clientData/>
  </xdr:twoCellAnchor>
  <xdr:twoCellAnchor>
    <xdr:from>
      <xdr:col>15</xdr:col>
      <xdr:colOff>563451</xdr:colOff>
      <xdr:row>28</xdr:row>
      <xdr:rowOff>107830</xdr:rowOff>
    </xdr:from>
    <xdr:to>
      <xdr:col>23</xdr:col>
      <xdr:colOff>83552</xdr:colOff>
      <xdr:row>29</xdr:row>
      <xdr:rowOff>134155</xdr:rowOff>
    </xdr:to>
    <xdr:sp macro="" textlink="">
      <xdr:nvSpPr>
        <xdr:cNvPr id="32" name="TextBox 31">
          <a:extLst>
            <a:ext uri="{FF2B5EF4-FFF2-40B4-BE49-F238E27FC236}">
              <a16:creationId xmlns:a16="http://schemas.microsoft.com/office/drawing/2014/main" id="{C4D94B98-2BBB-40A1-A0DC-EE594FFE00D3}"/>
            </a:ext>
          </a:extLst>
        </xdr:cNvPr>
        <xdr:cNvSpPr txBox="1"/>
      </xdr:nvSpPr>
      <xdr:spPr>
        <a:xfrm>
          <a:off x="9890762" y="5643113"/>
          <a:ext cx="4408403" cy="2240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3 Top</a:t>
          </a:r>
          <a:r>
            <a:rPr lang="en-US" sz="1400" b="1" baseline="0"/>
            <a:t> Performing Sales Reps and Customers</a:t>
          </a:r>
          <a:endParaRPr lang="en-US" sz="1400" b="1"/>
        </a:p>
      </xdr:txBody>
    </xdr:sp>
    <xdr:clientData/>
  </xdr:twoCellAnchor>
  <xdr:twoCellAnchor>
    <xdr:from>
      <xdr:col>7</xdr:col>
      <xdr:colOff>183815</xdr:colOff>
      <xdr:row>5</xdr:row>
      <xdr:rowOff>16710</xdr:rowOff>
    </xdr:from>
    <xdr:to>
      <xdr:col>19</xdr:col>
      <xdr:colOff>0</xdr:colOff>
      <xdr:row>7</xdr:row>
      <xdr:rowOff>66842</xdr:rowOff>
    </xdr:to>
    <xdr:sp macro="" textlink="">
      <xdr:nvSpPr>
        <xdr:cNvPr id="35" name="TextBox 34">
          <a:extLst>
            <a:ext uri="{FF2B5EF4-FFF2-40B4-BE49-F238E27FC236}">
              <a16:creationId xmlns:a16="http://schemas.microsoft.com/office/drawing/2014/main" id="{5A2236A6-839F-4177-A4B3-FB052343DAE8}"/>
            </a:ext>
          </a:extLst>
        </xdr:cNvPr>
        <xdr:cNvSpPr txBox="1"/>
      </xdr:nvSpPr>
      <xdr:spPr>
        <a:xfrm>
          <a:off x="4561973" y="935789"/>
          <a:ext cx="7035132" cy="417764"/>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latin typeface="+mn-lt"/>
            </a:rPr>
            <a:t>D-TECH</a:t>
          </a:r>
          <a:r>
            <a:rPr lang="en-US" sz="2400" baseline="0">
              <a:solidFill>
                <a:schemeClr val="bg1"/>
              </a:solidFill>
              <a:latin typeface="+mn-lt"/>
            </a:rPr>
            <a:t> ELETRONICS </a:t>
          </a:r>
          <a:r>
            <a:rPr lang="en-US" sz="2400">
              <a:solidFill>
                <a:schemeClr val="bg1"/>
              </a:solidFill>
              <a:latin typeface="+mn-lt"/>
            </a:rPr>
            <a:t>SALES PERFORMANCE ANALYSIS</a:t>
          </a:r>
        </a:p>
      </xdr:txBody>
    </xdr:sp>
    <xdr:clientData/>
  </xdr:twoCellAnchor>
  <xdr:oneCellAnchor>
    <xdr:from>
      <xdr:col>26</xdr:col>
      <xdr:colOff>593066</xdr:colOff>
      <xdr:row>22</xdr:row>
      <xdr:rowOff>89858</xdr:rowOff>
    </xdr:from>
    <xdr:ext cx="184731" cy="264560"/>
    <xdr:sp macro="" textlink="">
      <xdr:nvSpPr>
        <xdr:cNvPr id="40" name="TextBox 39">
          <a:extLst>
            <a:ext uri="{FF2B5EF4-FFF2-40B4-BE49-F238E27FC236}">
              <a16:creationId xmlns:a16="http://schemas.microsoft.com/office/drawing/2014/main" id="{81F1126B-349A-4C6D-AACD-1E4460BE41DF}"/>
            </a:ext>
          </a:extLst>
        </xdr:cNvPr>
        <xdr:cNvSpPr txBox="1"/>
      </xdr:nvSpPr>
      <xdr:spPr>
        <a:xfrm>
          <a:off x="16480047" y="4439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334211</xdr:colOff>
      <xdr:row>13</xdr:row>
      <xdr:rowOff>50132</xdr:rowOff>
    </xdr:from>
    <xdr:to>
      <xdr:col>6</xdr:col>
      <xdr:colOff>467895</xdr:colOff>
      <xdr:row>15</xdr:row>
      <xdr:rowOff>50130</xdr:rowOff>
    </xdr:to>
    <xdr:sp macro="" textlink="">
      <xdr:nvSpPr>
        <xdr:cNvPr id="54" name="Rectangle: Rounded Corners 53">
          <a:hlinkClick xmlns:r="http://schemas.openxmlformats.org/officeDocument/2006/relationships" r:id="rId1"/>
          <a:extLst>
            <a:ext uri="{FF2B5EF4-FFF2-40B4-BE49-F238E27FC236}">
              <a16:creationId xmlns:a16="http://schemas.microsoft.com/office/drawing/2014/main" id="{2718EB8C-AA68-4D7A-A8A6-6E9FC423F713}"/>
            </a:ext>
          </a:extLst>
        </xdr:cNvPr>
        <xdr:cNvSpPr/>
      </xdr:nvSpPr>
      <xdr:spPr>
        <a:xfrm>
          <a:off x="2907632" y="2439737"/>
          <a:ext cx="1336842" cy="367630"/>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t>DASHBOARD</a:t>
          </a:r>
        </a:p>
      </xdr:txBody>
    </xdr:sp>
    <xdr:clientData/>
  </xdr:twoCellAnchor>
  <xdr:twoCellAnchor>
    <xdr:from>
      <xdr:col>4</xdr:col>
      <xdr:colOff>384342</xdr:colOff>
      <xdr:row>17</xdr:row>
      <xdr:rowOff>16711</xdr:rowOff>
    </xdr:from>
    <xdr:to>
      <xdr:col>6</xdr:col>
      <xdr:colOff>451184</xdr:colOff>
      <xdr:row>18</xdr:row>
      <xdr:rowOff>167104</xdr:rowOff>
    </xdr:to>
    <xdr:sp macro="" textlink="">
      <xdr:nvSpPr>
        <xdr:cNvPr id="56" name="Rectangle: Rounded Corners 55">
          <a:hlinkClick xmlns:r="http://schemas.openxmlformats.org/officeDocument/2006/relationships" r:id="rId2"/>
          <a:extLst>
            <a:ext uri="{FF2B5EF4-FFF2-40B4-BE49-F238E27FC236}">
              <a16:creationId xmlns:a16="http://schemas.microsoft.com/office/drawing/2014/main" id="{A487FEA1-D379-4263-8F39-10699F84E141}"/>
            </a:ext>
          </a:extLst>
        </xdr:cNvPr>
        <xdr:cNvSpPr/>
      </xdr:nvSpPr>
      <xdr:spPr>
        <a:xfrm>
          <a:off x="2957763" y="3141579"/>
          <a:ext cx="1270000" cy="334209"/>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t>    </a:t>
          </a:r>
          <a:r>
            <a:rPr lang="en-US" sz="1600"/>
            <a:t>ANALYSIS</a:t>
          </a:r>
        </a:p>
      </xdr:txBody>
    </xdr:sp>
    <xdr:clientData/>
  </xdr:twoCellAnchor>
  <xdr:twoCellAnchor>
    <xdr:from>
      <xdr:col>4</xdr:col>
      <xdr:colOff>425962</xdr:colOff>
      <xdr:row>20</xdr:row>
      <xdr:rowOff>174536</xdr:rowOff>
    </xdr:from>
    <xdr:to>
      <xdr:col>6</xdr:col>
      <xdr:colOff>451184</xdr:colOff>
      <xdr:row>22</xdr:row>
      <xdr:rowOff>133685</xdr:rowOff>
    </xdr:to>
    <xdr:sp macro="" textlink="">
      <xdr:nvSpPr>
        <xdr:cNvPr id="57" name="Rectangle: Rounded Corners 56">
          <a:hlinkClick xmlns:r="http://schemas.openxmlformats.org/officeDocument/2006/relationships" r:id="rId3"/>
          <a:extLst>
            <a:ext uri="{FF2B5EF4-FFF2-40B4-BE49-F238E27FC236}">
              <a16:creationId xmlns:a16="http://schemas.microsoft.com/office/drawing/2014/main" id="{D96DE4CF-E07B-45E2-8CFA-5A29D5888D21}"/>
            </a:ext>
          </a:extLst>
        </xdr:cNvPr>
        <xdr:cNvSpPr/>
      </xdr:nvSpPr>
      <xdr:spPr>
        <a:xfrm>
          <a:off x="2999383" y="3850852"/>
          <a:ext cx="1228380" cy="326780"/>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    </a:t>
          </a:r>
          <a:r>
            <a:rPr lang="en-US" sz="1600"/>
            <a:t>DATASET</a:t>
          </a:r>
        </a:p>
      </xdr:txBody>
    </xdr:sp>
    <xdr:clientData/>
  </xdr:twoCellAnchor>
  <xdr:twoCellAnchor editAs="oneCell">
    <xdr:from>
      <xdr:col>4</xdr:col>
      <xdr:colOff>411210</xdr:colOff>
      <xdr:row>6</xdr:row>
      <xdr:rowOff>33086</xdr:rowOff>
    </xdr:from>
    <xdr:to>
      <xdr:col>6</xdr:col>
      <xdr:colOff>295108</xdr:colOff>
      <xdr:row>11</xdr:row>
      <xdr:rowOff>162292</xdr:rowOff>
    </xdr:to>
    <xdr:pic>
      <xdr:nvPicPr>
        <xdr:cNvPr id="59" name="Picture 58">
          <a:extLst>
            <a:ext uri="{FF2B5EF4-FFF2-40B4-BE49-F238E27FC236}">
              <a16:creationId xmlns:a16="http://schemas.microsoft.com/office/drawing/2014/main" id="{AA00942B-AF2C-43F5-B347-20FD955BE6A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984631" y="1135981"/>
          <a:ext cx="1087056" cy="1048285"/>
        </a:xfrm>
        <a:prstGeom prst="rect">
          <a:avLst/>
        </a:prstGeom>
      </xdr:spPr>
    </xdr:pic>
    <xdr:clientData/>
  </xdr:twoCellAnchor>
  <xdr:twoCellAnchor>
    <xdr:from>
      <xdr:col>7</xdr:col>
      <xdr:colOff>304800</xdr:colOff>
      <xdr:row>10</xdr:row>
      <xdr:rowOff>106752</xdr:rowOff>
    </xdr:from>
    <xdr:to>
      <xdr:col>10</xdr:col>
      <xdr:colOff>438150</xdr:colOff>
      <xdr:row>12</xdr:row>
      <xdr:rowOff>76200</xdr:rowOff>
    </xdr:to>
    <xdr:sp macro="" textlink="rev">
      <xdr:nvSpPr>
        <xdr:cNvPr id="63" name="TextBox 62">
          <a:extLst>
            <a:ext uri="{FF2B5EF4-FFF2-40B4-BE49-F238E27FC236}">
              <a16:creationId xmlns:a16="http://schemas.microsoft.com/office/drawing/2014/main" id="{A155366C-004C-4099-90DB-2C49D2376D1A}"/>
            </a:ext>
          </a:extLst>
        </xdr:cNvPr>
        <xdr:cNvSpPr txBox="1"/>
      </xdr:nvSpPr>
      <xdr:spPr>
        <a:xfrm>
          <a:off x="4743450" y="2011752"/>
          <a:ext cx="1962150" cy="3504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rgbClr val="000000"/>
              </a:solidFill>
              <a:latin typeface="Calibri"/>
              <a:ea typeface="Calibri"/>
              <a:cs typeface="Calibri"/>
            </a:rPr>
            <a:t> </a:t>
          </a:r>
          <a:r>
            <a:rPr lang="en-US" sz="2400" b="1" i="0" u="none" strike="noStrike" baseline="0">
              <a:solidFill>
                <a:srgbClr val="000000"/>
              </a:solidFill>
              <a:latin typeface="Calibri"/>
              <a:ea typeface="Calibri"/>
              <a:cs typeface="Calibri"/>
            </a:rPr>
            <a:t> </a:t>
          </a:r>
          <a:r>
            <a:rPr lang="en-US" sz="2400" b="1" i="0" u="none" strike="noStrike">
              <a:solidFill>
                <a:srgbClr val="000000"/>
              </a:solidFill>
              <a:latin typeface="Calibri"/>
              <a:ea typeface="Calibri"/>
              <a:cs typeface="Calibri"/>
            </a:rPr>
            <a:t> </a:t>
          </a:r>
          <a:fld id="{7E041AFC-13F1-49D8-B794-2E3FCAC54E92}" type="TxLink">
            <a:rPr lang="en-US" sz="2400" b="1" i="0" u="none" strike="noStrike">
              <a:solidFill>
                <a:srgbClr val="000000"/>
              </a:solidFill>
              <a:latin typeface="Calibri"/>
              <a:ea typeface="Calibri"/>
              <a:cs typeface="Calibri"/>
            </a:rPr>
            <a:pPr/>
            <a:t>₦217.6m</a:t>
          </a:fld>
          <a:endParaRPr lang="en-US" sz="2400" b="1"/>
        </a:p>
      </xdr:txBody>
    </xdr:sp>
    <xdr:clientData/>
  </xdr:twoCellAnchor>
  <xdr:twoCellAnchor>
    <xdr:from>
      <xdr:col>11</xdr:col>
      <xdr:colOff>593065</xdr:colOff>
      <xdr:row>10</xdr:row>
      <xdr:rowOff>35944</xdr:rowOff>
    </xdr:from>
    <xdr:to>
      <xdr:col>13</xdr:col>
      <xdr:colOff>535608</xdr:colOff>
      <xdr:row>12</xdr:row>
      <xdr:rowOff>152401</xdr:rowOff>
    </xdr:to>
    <xdr:sp macro="" textlink="vol">
      <xdr:nvSpPr>
        <xdr:cNvPr id="65" name="TextBox 64">
          <a:extLst>
            <a:ext uri="{FF2B5EF4-FFF2-40B4-BE49-F238E27FC236}">
              <a16:creationId xmlns:a16="http://schemas.microsoft.com/office/drawing/2014/main" id="{6E46AC9C-A30F-49C4-AF0C-5D3341101245}"/>
            </a:ext>
          </a:extLst>
        </xdr:cNvPr>
        <xdr:cNvSpPr txBox="1"/>
      </xdr:nvSpPr>
      <xdr:spPr>
        <a:xfrm>
          <a:off x="7476225" y="2012831"/>
          <a:ext cx="1164619" cy="5118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rgbClr val="000000"/>
              </a:solidFill>
              <a:latin typeface="Calibri"/>
              <a:ea typeface="Calibri"/>
              <a:cs typeface="Calibri"/>
            </a:rPr>
            <a:t>  </a:t>
          </a:r>
          <a:fld id="{47562623-53A4-4644-8C39-9918A00391F6}" type="TxLink">
            <a:rPr lang="en-US" sz="2400" b="1" i="0" u="none" strike="noStrike">
              <a:solidFill>
                <a:srgbClr val="000000"/>
              </a:solidFill>
              <a:latin typeface="Calibri"/>
              <a:ea typeface="Calibri"/>
              <a:cs typeface="Calibri"/>
            </a:rPr>
            <a:pPr/>
            <a:t> 1,141 </a:t>
          </a:fld>
          <a:endParaRPr lang="en-US" sz="2400" b="1"/>
        </a:p>
      </xdr:txBody>
    </xdr:sp>
    <xdr:clientData/>
  </xdr:twoCellAnchor>
  <xdr:twoCellAnchor>
    <xdr:from>
      <xdr:col>16</xdr:col>
      <xdr:colOff>341462</xdr:colOff>
      <xdr:row>10</xdr:row>
      <xdr:rowOff>17971</xdr:rowOff>
    </xdr:from>
    <xdr:to>
      <xdr:col>18</xdr:col>
      <xdr:colOff>181980</xdr:colOff>
      <xdr:row>12</xdr:row>
      <xdr:rowOff>89860</xdr:rowOff>
    </xdr:to>
    <xdr:sp macro="" textlink="repp">
      <xdr:nvSpPr>
        <xdr:cNvPr id="72" name="TextBox 71">
          <a:extLst>
            <a:ext uri="{FF2B5EF4-FFF2-40B4-BE49-F238E27FC236}">
              <a16:creationId xmlns:a16="http://schemas.microsoft.com/office/drawing/2014/main" id="{555703F7-8165-47B8-A8DB-CE4BC1C34B7C}"/>
            </a:ext>
          </a:extLst>
        </xdr:cNvPr>
        <xdr:cNvSpPr txBox="1"/>
      </xdr:nvSpPr>
      <xdr:spPr>
        <a:xfrm>
          <a:off x="10279811" y="1994858"/>
          <a:ext cx="1062594" cy="4672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rgbClr val="000000"/>
              </a:solidFill>
              <a:latin typeface="Calibri"/>
              <a:ea typeface="Calibri"/>
              <a:cs typeface="Calibri"/>
            </a:rPr>
            <a:t>  </a:t>
          </a:r>
          <a:fld id="{1CD9A3D5-BA1C-4F90-87AB-D69886190653}" type="TxLink">
            <a:rPr lang="en-US" sz="2400" b="1" i="0" u="none" strike="noStrike">
              <a:solidFill>
                <a:srgbClr val="000000"/>
              </a:solidFill>
              <a:latin typeface="Calibri"/>
              <a:ea typeface="Calibri"/>
              <a:cs typeface="Calibri"/>
            </a:rPr>
            <a:pPr/>
            <a:t> 10 </a:t>
          </a:fld>
          <a:endParaRPr lang="en-US" sz="2400" b="1"/>
        </a:p>
      </xdr:txBody>
    </xdr:sp>
    <xdr:clientData/>
  </xdr:twoCellAnchor>
  <xdr:twoCellAnchor>
    <xdr:from>
      <xdr:col>20</xdr:col>
      <xdr:colOff>269575</xdr:colOff>
      <xdr:row>10</xdr:row>
      <xdr:rowOff>35944</xdr:rowOff>
    </xdr:from>
    <xdr:to>
      <xdr:col>22</xdr:col>
      <xdr:colOff>266700</xdr:colOff>
      <xdr:row>12</xdr:row>
      <xdr:rowOff>1</xdr:rowOff>
    </xdr:to>
    <xdr:sp macro="" textlink="cus">
      <xdr:nvSpPr>
        <xdr:cNvPr id="74" name="TextBox 73">
          <a:extLst>
            <a:ext uri="{FF2B5EF4-FFF2-40B4-BE49-F238E27FC236}">
              <a16:creationId xmlns:a16="http://schemas.microsoft.com/office/drawing/2014/main" id="{D01BE36C-A880-4A86-91BC-B3F6A79C504A}"/>
            </a:ext>
          </a:extLst>
        </xdr:cNvPr>
        <xdr:cNvSpPr txBox="1"/>
      </xdr:nvSpPr>
      <xdr:spPr>
        <a:xfrm>
          <a:off x="12652075" y="2012831"/>
          <a:ext cx="1219200" cy="3594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rgbClr val="000000"/>
              </a:solidFill>
              <a:latin typeface="Calibri"/>
              <a:ea typeface="Calibri"/>
              <a:cs typeface="Calibri"/>
            </a:rPr>
            <a:t>    </a:t>
          </a:r>
          <a:fld id="{C82861A9-0AA2-49CF-9B60-C5D915C2756C}" type="TxLink">
            <a:rPr lang="en-US" sz="2400" b="1" i="0" u="none" strike="noStrike">
              <a:solidFill>
                <a:srgbClr val="000000"/>
              </a:solidFill>
              <a:latin typeface="Calibri"/>
              <a:ea typeface="Calibri"/>
              <a:cs typeface="Calibri"/>
            </a:rPr>
            <a:pPr/>
            <a:t> 14 </a:t>
          </a:fld>
          <a:endParaRPr lang="en-US" sz="2400" b="1"/>
        </a:p>
      </xdr:txBody>
    </xdr:sp>
    <xdr:clientData/>
  </xdr:twoCellAnchor>
  <xdr:twoCellAnchor>
    <xdr:from>
      <xdr:col>7</xdr:col>
      <xdr:colOff>317500</xdr:colOff>
      <xdr:row>17</xdr:row>
      <xdr:rowOff>0</xdr:rowOff>
    </xdr:from>
    <xdr:to>
      <xdr:col>11</xdr:col>
      <xdr:colOff>457200</xdr:colOff>
      <xdr:row>26</xdr:row>
      <xdr:rowOff>53662</xdr:rowOff>
    </xdr:to>
    <xdr:graphicFrame macro="">
      <xdr:nvGraphicFramePr>
        <xdr:cNvPr id="76" name="Chart 75">
          <a:extLst>
            <a:ext uri="{FF2B5EF4-FFF2-40B4-BE49-F238E27FC236}">
              <a16:creationId xmlns:a16="http://schemas.microsoft.com/office/drawing/2014/main" id="{FE2F28E4-3B7E-4C35-A2DB-F9480CB67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393700</xdr:colOff>
      <xdr:row>16</xdr:row>
      <xdr:rowOff>187816</xdr:rowOff>
    </xdr:from>
    <xdr:to>
      <xdr:col>15</xdr:col>
      <xdr:colOff>203201</xdr:colOff>
      <xdr:row>26</xdr:row>
      <xdr:rowOff>40246</xdr:rowOff>
    </xdr:to>
    <xdr:graphicFrame macro="">
      <xdr:nvGraphicFramePr>
        <xdr:cNvPr id="82" name="Chart 81">
          <a:extLst>
            <a:ext uri="{FF2B5EF4-FFF2-40B4-BE49-F238E27FC236}">
              <a16:creationId xmlns:a16="http://schemas.microsoft.com/office/drawing/2014/main" id="{4B3DF0AC-2BB9-4060-8FB5-63370FE07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593066</xdr:colOff>
      <xdr:row>16</xdr:row>
      <xdr:rowOff>152401</xdr:rowOff>
    </xdr:from>
    <xdr:to>
      <xdr:col>19</xdr:col>
      <xdr:colOff>546100</xdr:colOff>
      <xdr:row>25</xdr:row>
      <xdr:rowOff>89858</xdr:rowOff>
    </xdr:to>
    <xdr:graphicFrame macro="">
      <xdr:nvGraphicFramePr>
        <xdr:cNvPr id="84" name="Chart 83">
          <a:extLst>
            <a:ext uri="{FF2B5EF4-FFF2-40B4-BE49-F238E27FC236}">
              <a16:creationId xmlns:a16="http://schemas.microsoft.com/office/drawing/2014/main" id="{63B2B112-BA8D-45EC-907A-D0EC1B057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12700</xdr:colOff>
      <xdr:row>16</xdr:row>
      <xdr:rowOff>139700</xdr:rowOff>
    </xdr:from>
    <xdr:to>
      <xdr:col>23</xdr:col>
      <xdr:colOff>279400</xdr:colOff>
      <xdr:row>26</xdr:row>
      <xdr:rowOff>50800</xdr:rowOff>
    </xdr:to>
    <xdr:graphicFrame macro="">
      <xdr:nvGraphicFramePr>
        <xdr:cNvPr id="85" name="Chart 84">
          <a:extLst>
            <a:ext uri="{FF2B5EF4-FFF2-40B4-BE49-F238E27FC236}">
              <a16:creationId xmlns:a16="http://schemas.microsoft.com/office/drawing/2014/main" id="{D79B20A9-A903-44B6-82F5-558F1B964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482958</xdr:colOff>
      <xdr:row>29</xdr:row>
      <xdr:rowOff>139700</xdr:rowOff>
    </xdr:from>
    <xdr:to>
      <xdr:col>19</xdr:col>
      <xdr:colOff>467895</xdr:colOff>
      <xdr:row>39</xdr:row>
      <xdr:rowOff>152400</xdr:rowOff>
    </xdr:to>
    <xdr:graphicFrame macro="">
      <xdr:nvGraphicFramePr>
        <xdr:cNvPr id="86" name="Chart 85">
          <a:extLst>
            <a:ext uri="{FF2B5EF4-FFF2-40B4-BE49-F238E27FC236}">
              <a16:creationId xmlns:a16="http://schemas.microsoft.com/office/drawing/2014/main" id="{6C1AAEF5-A87E-47E1-B0E9-37B8C3920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334211</xdr:colOff>
      <xdr:row>23</xdr:row>
      <xdr:rowOff>178133</xdr:rowOff>
    </xdr:from>
    <xdr:to>
      <xdr:col>6</xdr:col>
      <xdr:colOff>501315</xdr:colOff>
      <xdr:row>31</xdr:row>
      <xdr:rowOff>133684</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51AF9551-C82F-4B15-9EC4-9484D50CD3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07632" y="4405896"/>
              <a:ext cx="1370262" cy="1426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334211</xdr:colOff>
      <xdr:row>32</xdr:row>
      <xdr:rowOff>33419</xdr:rowOff>
    </xdr:from>
    <xdr:to>
      <xdr:col>6</xdr:col>
      <xdr:colOff>518027</xdr:colOff>
      <xdr:row>42</xdr:row>
      <xdr:rowOff>183815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CEAF4159-A73C-4351-AC1C-77ADEB7C876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07632" y="5915524"/>
              <a:ext cx="1386974" cy="1988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593065</xdr:colOff>
      <xdr:row>41</xdr:row>
      <xdr:rowOff>161744</xdr:rowOff>
    </xdr:from>
    <xdr:to>
      <xdr:col>24</xdr:col>
      <xdr:colOff>62119</xdr:colOff>
      <xdr:row>43</xdr:row>
      <xdr:rowOff>71886</xdr:rowOff>
    </xdr:to>
    <xdr:sp macro="" textlink="">
      <xdr:nvSpPr>
        <xdr:cNvPr id="10" name="TextBox 9">
          <a:extLst>
            <a:ext uri="{FF2B5EF4-FFF2-40B4-BE49-F238E27FC236}">
              <a16:creationId xmlns:a16="http://schemas.microsoft.com/office/drawing/2014/main" id="{AAFD37AF-FF50-4F86-AF70-3B8FFD6B44FF}"/>
            </a:ext>
          </a:extLst>
        </xdr:cNvPr>
        <xdr:cNvSpPr txBox="1"/>
      </xdr:nvSpPr>
      <xdr:spPr>
        <a:xfrm>
          <a:off x="4421037" y="8266980"/>
          <a:ext cx="10467733" cy="305519"/>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accent4"/>
              </a:solidFill>
            </a:rPr>
            <a:t>AI NOW </a:t>
          </a:r>
          <a:r>
            <a:rPr lang="en-US" sz="1800" b="1" baseline="0">
              <a:solidFill>
                <a:schemeClr val="accent6"/>
              </a:solidFill>
            </a:rPr>
            <a:t>BOOTCAMP </a:t>
          </a:r>
          <a:r>
            <a:rPr lang="en-US" sz="1600" b="1" baseline="0">
              <a:solidFill>
                <a:schemeClr val="bg1"/>
              </a:solidFill>
            </a:rPr>
            <a:t>CAPSTONE PROJECT - ADVANCE VISUALIZATION AND DATA ANALYSIS by Oluwole George-Taylor</a:t>
          </a:r>
          <a:endParaRPr lang="en-US" sz="1600" b="1">
            <a:solidFill>
              <a:schemeClr val="bg1"/>
            </a:solidFill>
          </a:endParaRPr>
        </a:p>
      </xdr:txBody>
    </xdr:sp>
    <xdr:clientData/>
  </xdr:twoCellAnchor>
  <xdr:twoCellAnchor>
    <xdr:from>
      <xdr:col>7</xdr:col>
      <xdr:colOff>305519</xdr:colOff>
      <xdr:row>30</xdr:row>
      <xdr:rowOff>35944</xdr:rowOff>
    </xdr:from>
    <xdr:to>
      <xdr:col>15</xdr:col>
      <xdr:colOff>143774</xdr:colOff>
      <xdr:row>41</xdr:row>
      <xdr:rowOff>17972</xdr:rowOff>
    </xdr:to>
    <xdr:graphicFrame macro="">
      <xdr:nvGraphicFramePr>
        <xdr:cNvPr id="46" name="Chart 45">
          <a:extLst>
            <a:ext uri="{FF2B5EF4-FFF2-40B4-BE49-F238E27FC236}">
              <a16:creationId xmlns:a16="http://schemas.microsoft.com/office/drawing/2014/main" id="{4B976FC1-95F9-4AD2-A814-C2976FB3B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308556</xdr:colOff>
      <xdr:row>30</xdr:row>
      <xdr:rowOff>1</xdr:rowOff>
    </xdr:from>
    <xdr:to>
      <xdr:col>23</xdr:col>
      <xdr:colOff>295141</xdr:colOff>
      <xdr:row>40</xdr:row>
      <xdr:rowOff>53662</xdr:rowOff>
    </xdr:to>
    <xdr:graphicFrame macro="">
      <xdr:nvGraphicFramePr>
        <xdr:cNvPr id="48" name="Chart 47">
          <a:extLst>
            <a:ext uri="{FF2B5EF4-FFF2-40B4-BE49-F238E27FC236}">
              <a16:creationId xmlns:a16="http://schemas.microsoft.com/office/drawing/2014/main" id="{8F0C9010-741D-49D9-B7A2-F5B1F0C5C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leGT" refreshedDate="46042.918039583332" createdVersion="7" refreshedVersion="6" minRefreshableVersion="3" recordCount="100" xr:uid="{7BC1A462-6CE9-4355-8A49-8248A1FAF03E}">
  <cacheSource type="worksheet">
    <worksheetSource name="SalesData"/>
  </cacheSource>
  <cacheFields count="17">
    <cacheField name="Date" numFmtId="164">
      <sharedItems containsSemiMixedTypes="0" containsNonDate="0" containsDate="1" containsString="0" minDate="2025-01-04T00:00:00" maxDate="2025-08-05T00:00:00" count="78">
        <d v="2025-06-13T00:00:00"/>
        <d v="2025-08-04T00:00:00"/>
        <d v="2025-01-29T00:00:00"/>
        <d v="2025-05-17T00:00:00"/>
        <d v="2025-01-28T00:00:00"/>
        <d v="2025-05-26T00:00:00"/>
        <d v="2025-05-06T00:00:00"/>
        <d v="2025-02-10T00:00:00"/>
        <d v="2025-02-01T00:00:00"/>
        <d v="2025-06-28T00:00:00"/>
        <d v="2025-04-18T00:00:00"/>
        <d v="2025-02-25T00:00:00"/>
        <d v="2025-04-29T00:00:00"/>
        <d v="2025-02-02T00:00:00"/>
        <d v="2025-04-15T00:00:00"/>
        <d v="2025-06-12T00:00:00"/>
        <d v="2025-01-31T00:00:00"/>
        <d v="2025-05-25T00:00:00"/>
        <d v="2025-02-26T00:00:00"/>
        <d v="2025-04-06T00:00:00"/>
        <d v="2025-02-24T00:00:00"/>
        <d v="2025-03-24T00:00:00"/>
        <d v="2025-05-28T00:00:00"/>
        <d v="2025-05-12T00:00:00"/>
        <d v="2025-05-11T00:00:00"/>
        <d v="2025-01-16T00:00:00"/>
        <d v="2025-05-10T00:00:00"/>
        <d v="2025-02-06T00:00:00"/>
        <d v="2025-06-17T00:00:00"/>
        <d v="2025-01-09T00:00:00"/>
        <d v="2025-06-29T00:00:00"/>
        <d v="2025-03-19T00:00:00"/>
        <d v="2025-02-07T00:00:00"/>
        <d v="2025-03-07T00:00:00"/>
        <d v="2025-05-07T00:00:00"/>
        <d v="2025-06-30T00:00:00"/>
        <d v="2025-01-13T00:00:00"/>
        <d v="2025-06-15T00:00:00"/>
        <d v="2025-02-28T00:00:00"/>
        <d v="2025-02-19T00:00:00"/>
        <d v="2025-03-03T00:00:00"/>
        <d v="2025-04-01T00:00:00"/>
        <d v="2025-04-07T00:00:00"/>
        <d v="2025-06-01T00:00:00"/>
        <d v="2025-01-14T00:00:00"/>
        <d v="2025-02-22T00:00:00"/>
        <d v="2025-01-27T00:00:00"/>
        <d v="2025-01-04T00:00:00"/>
        <d v="2025-03-08T00:00:00"/>
        <d v="2025-01-23T00:00:00"/>
        <d v="2025-02-05T00:00:00"/>
        <d v="2025-01-06T00:00:00"/>
        <d v="2025-05-02T00:00:00"/>
        <d v="2025-06-02T00:00:00"/>
        <d v="2025-02-16T00:00:00"/>
        <d v="2025-04-14T00:00:00"/>
        <d v="2025-01-11T00:00:00"/>
        <d v="2025-05-29T00:00:00"/>
        <d v="2025-03-15T00:00:00"/>
        <d v="2025-03-26T00:00:00"/>
        <d v="2025-01-12T00:00:00"/>
        <d v="2025-05-05T00:00:00"/>
        <d v="2025-05-19T00:00:00"/>
        <d v="2025-04-04T00:00:00"/>
        <d v="2025-06-03T00:00:00"/>
        <d v="2025-04-05T00:00:00"/>
        <d v="2025-01-30T00:00:00"/>
        <d v="2025-05-27T00:00:00"/>
        <d v="2025-04-08T00:00:00"/>
        <d v="2025-02-13T00:00:00"/>
        <d v="2025-03-09T00:00:00"/>
        <d v="2025-02-20T00:00:00"/>
        <d v="2025-04-10T00:00:00"/>
        <d v="2025-05-21T00:00:00"/>
        <d v="2025-06-26T00:00:00"/>
        <d v="2025-06-27T00:00:00"/>
        <d v="2025-06-07T00:00:00"/>
        <d v="2025-05-13T00:00:00"/>
      </sharedItems>
      <fieldGroup par="16" base="0">
        <rangePr groupBy="days" startDate="2025-01-04T00:00:00" endDate="2025-08-05T00:00:00"/>
        <groupItems count="368">
          <s v="&lt;1/4/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5/2025"/>
        </groupItems>
      </fieldGroup>
    </cacheField>
    <cacheField name="Region" numFmtId="0">
      <sharedItems count="4">
        <s v="South"/>
        <s v="East"/>
        <s v="North"/>
        <s v="West"/>
      </sharedItems>
    </cacheField>
    <cacheField name="Product" numFmtId="0">
      <sharedItems count="8">
        <s v="Laptop A15"/>
        <s v="Tv 43Q"/>
        <s v="Phone X12"/>
        <s v="Monitor M24"/>
        <s v="Camera C100"/>
        <s v="Tablet T8"/>
        <s v="Speaker S10"/>
        <s v="Unknown"/>
      </sharedItems>
    </cacheField>
    <cacheField name="Category" numFmtId="0">
      <sharedItems count="6">
        <s v="Computers"/>
        <s v="Electronics"/>
        <s v="Mobile"/>
        <s v="Peripherals"/>
        <s v="Photography"/>
        <s v="Audio"/>
      </sharedItems>
    </cacheField>
    <cacheField name="Units Sold" numFmtId="0">
      <sharedItems containsSemiMixedTypes="0" containsString="0" containsNumber="1" containsInteger="1" minValue="1" maxValue="20"/>
    </cacheField>
    <cacheField name="Unit Price" numFmtId="165">
      <sharedItems containsSemiMixedTypes="0" containsString="0" containsNumber="1" containsInteger="1" minValue="65000" maxValue="350000"/>
    </cacheField>
    <cacheField name="Sales" numFmtId="165">
      <sharedItems containsSemiMixedTypes="0" containsString="0" containsNumber="1" containsInteger="1" minValue="130000" maxValue="7000000"/>
    </cacheField>
    <cacheField name="Sales Rep" numFmtId="0">
      <sharedItems count="10">
        <s v="Peter Obi"/>
        <s v="Ifeanyi Okafor"/>
        <s v="Fola Balogun"/>
        <s v="Aisha Bello"/>
        <s v="Chinedu Nwosu"/>
        <s v="Mary John"/>
        <s v="Grace Amos"/>
        <s v="Job Austin"/>
        <s v="Aba Joel"/>
        <s v="Praise Odunayo"/>
      </sharedItems>
    </cacheField>
    <cacheField name="Customer" numFmtId="0">
      <sharedItems count="14">
        <s v="Bright Solutions"/>
        <s v="Musa Enterprises"/>
        <s v="Zainab Global"/>
        <s v="Jide Superstores"/>
        <s v="Chika Mart"/>
        <s v="Alpha Retailers"/>
        <s v="Omega Wholesale"/>
        <s v="Kelvin Tech"/>
        <s v="Emeka Traders"/>
        <s v="Tola Ventures"/>
        <s v="Femi Tech"/>
        <s v="Maryam Ltd"/>
        <s v="Tope &amp; Sons"/>
        <s v="Adewale Stores"/>
      </sharedItems>
    </cacheField>
    <cacheField name="Total Sales" numFmtId="0">
      <sharedItems containsString="0" containsBlank="1" containsNumber="1" containsInteger="1" minValue="217575000" maxValue="217575000"/>
    </cacheField>
    <cacheField name="Total no of Sales Rep" numFmtId="0">
      <sharedItems containsString="0" containsBlank="1" containsNumber="1" minValue="9.9999999999999964" maxValue="9.9999999999999964"/>
    </cacheField>
    <cacheField name="Total no of Customers" numFmtId="0">
      <sharedItems containsString="0" containsBlank="1" containsNumber="1" minValue="13.999999999999995" maxValue="13.999999999999995"/>
    </cacheField>
    <cacheField name="Total no of Units Sold" numFmtId="0">
      <sharedItems containsString="0" containsBlank="1" containsNumber="1" containsInteger="1" minValue="1141" maxValue="1141"/>
    </cacheField>
    <cacheField name="Total no of Categories" numFmtId="0">
      <sharedItems containsString="0" containsBlank="1" containsNumber="1" minValue="5.9999999999999929" maxValue="5.9999999999999929"/>
    </cacheField>
    <cacheField name="Total no of Products" numFmtId="0">
      <sharedItems containsString="0" containsBlank="1" containsNumber="1" minValue="7.9999999999999938" maxValue="7.9999999999999938"/>
    </cacheField>
    <cacheField name="Months (Date)" numFmtId="0" databaseField="0">
      <fieldGroup base="0">
        <rangePr groupBy="months" startDate="2025-01-04T00:00:00" endDate="2025-08-05T00:00:00"/>
        <groupItems count="14">
          <s v="&lt;1/4/2025"/>
          <s v="Jan"/>
          <s v="Feb"/>
          <s v="Mar"/>
          <s v="Apr"/>
          <s v="May"/>
          <s v="Jun"/>
          <s v="Jul"/>
          <s v="Aug"/>
          <s v="Sep"/>
          <s v="Oct"/>
          <s v="Nov"/>
          <s v="Dec"/>
          <s v="&gt;8/5/2025"/>
        </groupItems>
      </fieldGroup>
    </cacheField>
    <cacheField name="Quarters (Date)" numFmtId="0" databaseField="0">
      <fieldGroup base="0">
        <rangePr groupBy="quarters" startDate="2025-01-04T00:00:00" endDate="2025-08-05T00:00:00"/>
        <groupItems count="6">
          <s v="&lt;1/4/2025"/>
          <s v="Qtr1"/>
          <s v="Qtr2"/>
          <s v="Qtr3"/>
          <s v="Qtr4"/>
          <s v="&gt;8/5/2025"/>
        </groupItems>
      </fieldGroup>
    </cacheField>
  </cacheFields>
  <extLst>
    <ext xmlns:x14="http://schemas.microsoft.com/office/spreadsheetml/2009/9/main" uri="{725AE2AE-9491-48be-B2B4-4EB974FC3084}">
      <x14:pivotCacheDefinition pivotCacheId="682484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n v="8"/>
    <n v="250000"/>
    <n v="2000000"/>
    <x v="0"/>
    <x v="0"/>
    <n v="217575000"/>
    <n v="9.9999999999999964"/>
    <n v="13.999999999999995"/>
    <n v="1141"/>
    <n v="5.9999999999999929"/>
    <n v="7.9999999999999938"/>
  </r>
  <r>
    <x v="1"/>
    <x v="1"/>
    <x v="1"/>
    <x v="1"/>
    <n v="6"/>
    <n v="350000"/>
    <n v="2100000"/>
    <x v="1"/>
    <x v="1"/>
    <m/>
    <m/>
    <m/>
    <m/>
    <m/>
    <m/>
  </r>
  <r>
    <x v="2"/>
    <x v="2"/>
    <x v="2"/>
    <x v="2"/>
    <n v="14"/>
    <n v="180000"/>
    <n v="2520000"/>
    <x v="2"/>
    <x v="2"/>
    <m/>
    <m/>
    <m/>
    <m/>
    <m/>
    <m/>
  </r>
  <r>
    <x v="3"/>
    <x v="0"/>
    <x v="3"/>
    <x v="3"/>
    <n v="18"/>
    <n v="65000"/>
    <n v="1170000"/>
    <x v="1"/>
    <x v="3"/>
    <m/>
    <m/>
    <m/>
    <m/>
    <m/>
    <m/>
  </r>
  <r>
    <x v="4"/>
    <x v="3"/>
    <x v="2"/>
    <x v="2"/>
    <n v="5"/>
    <n v="180000"/>
    <n v="900000"/>
    <x v="0"/>
    <x v="4"/>
    <m/>
    <m/>
    <m/>
    <m/>
    <m/>
    <m/>
  </r>
  <r>
    <x v="5"/>
    <x v="1"/>
    <x v="2"/>
    <x v="2"/>
    <n v="19"/>
    <n v="180000"/>
    <n v="3420000"/>
    <x v="1"/>
    <x v="1"/>
    <m/>
    <m/>
    <m/>
    <m/>
    <m/>
    <m/>
  </r>
  <r>
    <x v="6"/>
    <x v="3"/>
    <x v="1"/>
    <x v="1"/>
    <n v="3"/>
    <n v="350000"/>
    <n v="1050000"/>
    <x v="3"/>
    <x v="4"/>
    <m/>
    <m/>
    <m/>
    <m/>
    <m/>
    <m/>
  </r>
  <r>
    <x v="7"/>
    <x v="3"/>
    <x v="3"/>
    <x v="3"/>
    <n v="2"/>
    <n v="65000"/>
    <n v="130000"/>
    <x v="0"/>
    <x v="1"/>
    <m/>
    <m/>
    <m/>
    <m/>
    <m/>
    <m/>
  </r>
  <r>
    <x v="8"/>
    <x v="1"/>
    <x v="4"/>
    <x v="4"/>
    <n v="14"/>
    <n v="175000"/>
    <n v="2450000"/>
    <x v="2"/>
    <x v="0"/>
    <m/>
    <m/>
    <m/>
    <m/>
    <m/>
    <m/>
  </r>
  <r>
    <x v="9"/>
    <x v="3"/>
    <x v="5"/>
    <x v="2"/>
    <n v="4"/>
    <n v="150000"/>
    <n v="600000"/>
    <x v="0"/>
    <x v="5"/>
    <m/>
    <m/>
    <m/>
    <m/>
    <m/>
    <m/>
  </r>
  <r>
    <x v="10"/>
    <x v="0"/>
    <x v="5"/>
    <x v="2"/>
    <n v="20"/>
    <n v="150000"/>
    <n v="3000000"/>
    <x v="2"/>
    <x v="1"/>
    <m/>
    <m/>
    <m/>
    <m/>
    <m/>
    <m/>
  </r>
  <r>
    <x v="11"/>
    <x v="2"/>
    <x v="6"/>
    <x v="5"/>
    <n v="6"/>
    <n v="85000"/>
    <n v="510000"/>
    <x v="3"/>
    <x v="6"/>
    <m/>
    <m/>
    <m/>
    <m/>
    <m/>
    <m/>
  </r>
  <r>
    <x v="12"/>
    <x v="3"/>
    <x v="5"/>
    <x v="2"/>
    <n v="1"/>
    <n v="150000"/>
    <n v="150000"/>
    <x v="3"/>
    <x v="7"/>
    <m/>
    <m/>
    <m/>
    <m/>
    <m/>
    <m/>
  </r>
  <r>
    <x v="13"/>
    <x v="1"/>
    <x v="1"/>
    <x v="1"/>
    <n v="18"/>
    <n v="350000"/>
    <n v="6300000"/>
    <x v="4"/>
    <x v="8"/>
    <m/>
    <m/>
    <m/>
    <m/>
    <m/>
    <m/>
  </r>
  <r>
    <x v="14"/>
    <x v="0"/>
    <x v="6"/>
    <x v="5"/>
    <n v="2"/>
    <n v="85000"/>
    <n v="170000"/>
    <x v="1"/>
    <x v="0"/>
    <m/>
    <m/>
    <m/>
    <m/>
    <m/>
    <m/>
  </r>
  <r>
    <x v="15"/>
    <x v="1"/>
    <x v="3"/>
    <x v="3"/>
    <n v="11"/>
    <n v="65000"/>
    <n v="715000"/>
    <x v="4"/>
    <x v="9"/>
    <m/>
    <m/>
    <m/>
    <m/>
    <m/>
    <m/>
  </r>
  <r>
    <x v="16"/>
    <x v="1"/>
    <x v="4"/>
    <x v="4"/>
    <n v="10"/>
    <n v="175000"/>
    <n v="1750000"/>
    <x v="2"/>
    <x v="6"/>
    <m/>
    <m/>
    <m/>
    <m/>
    <m/>
    <m/>
  </r>
  <r>
    <x v="13"/>
    <x v="3"/>
    <x v="5"/>
    <x v="2"/>
    <n v="4"/>
    <n v="150000"/>
    <n v="600000"/>
    <x v="5"/>
    <x v="3"/>
    <m/>
    <m/>
    <m/>
    <m/>
    <m/>
    <m/>
  </r>
  <r>
    <x v="17"/>
    <x v="3"/>
    <x v="4"/>
    <x v="4"/>
    <n v="3"/>
    <n v="175000"/>
    <n v="525000"/>
    <x v="6"/>
    <x v="10"/>
    <m/>
    <m/>
    <m/>
    <m/>
    <m/>
    <m/>
  </r>
  <r>
    <x v="18"/>
    <x v="2"/>
    <x v="4"/>
    <x v="4"/>
    <n v="5"/>
    <n v="175000"/>
    <n v="875000"/>
    <x v="4"/>
    <x v="10"/>
    <m/>
    <m/>
    <m/>
    <m/>
    <m/>
    <m/>
  </r>
  <r>
    <x v="19"/>
    <x v="1"/>
    <x v="0"/>
    <x v="0"/>
    <n v="20"/>
    <n v="250000"/>
    <n v="5000000"/>
    <x v="6"/>
    <x v="1"/>
    <m/>
    <m/>
    <m/>
    <m/>
    <m/>
    <m/>
  </r>
  <r>
    <x v="20"/>
    <x v="1"/>
    <x v="4"/>
    <x v="4"/>
    <n v="2"/>
    <n v="175000"/>
    <n v="350000"/>
    <x v="0"/>
    <x v="8"/>
    <m/>
    <m/>
    <m/>
    <m/>
    <m/>
    <m/>
  </r>
  <r>
    <x v="21"/>
    <x v="1"/>
    <x v="5"/>
    <x v="2"/>
    <n v="20"/>
    <n v="150000"/>
    <n v="3000000"/>
    <x v="2"/>
    <x v="11"/>
    <m/>
    <m/>
    <m/>
    <m/>
    <m/>
    <m/>
  </r>
  <r>
    <x v="22"/>
    <x v="2"/>
    <x v="5"/>
    <x v="2"/>
    <n v="8"/>
    <n v="150000"/>
    <n v="1200000"/>
    <x v="1"/>
    <x v="6"/>
    <m/>
    <m/>
    <m/>
    <m/>
    <m/>
    <m/>
  </r>
  <r>
    <x v="23"/>
    <x v="3"/>
    <x v="0"/>
    <x v="0"/>
    <n v="19"/>
    <n v="250000"/>
    <n v="4750000"/>
    <x v="6"/>
    <x v="10"/>
    <m/>
    <m/>
    <m/>
    <m/>
    <m/>
    <m/>
  </r>
  <r>
    <x v="24"/>
    <x v="1"/>
    <x v="4"/>
    <x v="4"/>
    <n v="12"/>
    <n v="175000"/>
    <n v="2100000"/>
    <x v="4"/>
    <x v="6"/>
    <m/>
    <m/>
    <m/>
    <m/>
    <m/>
    <m/>
  </r>
  <r>
    <x v="25"/>
    <x v="2"/>
    <x v="6"/>
    <x v="5"/>
    <n v="11"/>
    <n v="85000"/>
    <n v="935000"/>
    <x v="6"/>
    <x v="10"/>
    <m/>
    <m/>
    <m/>
    <m/>
    <m/>
    <m/>
  </r>
  <r>
    <x v="26"/>
    <x v="2"/>
    <x v="3"/>
    <x v="3"/>
    <n v="17"/>
    <n v="65000"/>
    <n v="1105000"/>
    <x v="4"/>
    <x v="7"/>
    <m/>
    <m/>
    <m/>
    <m/>
    <m/>
    <m/>
  </r>
  <r>
    <x v="8"/>
    <x v="0"/>
    <x v="1"/>
    <x v="1"/>
    <n v="15"/>
    <n v="350000"/>
    <n v="5250000"/>
    <x v="7"/>
    <x v="2"/>
    <m/>
    <m/>
    <m/>
    <m/>
    <m/>
    <m/>
  </r>
  <r>
    <x v="27"/>
    <x v="3"/>
    <x v="1"/>
    <x v="1"/>
    <n v="8"/>
    <n v="350000"/>
    <n v="2800000"/>
    <x v="0"/>
    <x v="10"/>
    <m/>
    <m/>
    <m/>
    <m/>
    <m/>
    <m/>
  </r>
  <r>
    <x v="28"/>
    <x v="3"/>
    <x v="1"/>
    <x v="1"/>
    <n v="14"/>
    <n v="350000"/>
    <n v="4900000"/>
    <x v="4"/>
    <x v="12"/>
    <m/>
    <m/>
    <m/>
    <m/>
    <m/>
    <m/>
  </r>
  <r>
    <x v="29"/>
    <x v="1"/>
    <x v="5"/>
    <x v="2"/>
    <n v="12"/>
    <n v="150000"/>
    <n v="1800000"/>
    <x v="2"/>
    <x v="5"/>
    <m/>
    <m/>
    <m/>
    <m/>
    <m/>
    <m/>
  </r>
  <r>
    <x v="30"/>
    <x v="2"/>
    <x v="4"/>
    <x v="4"/>
    <n v="8"/>
    <n v="175000"/>
    <n v="1400000"/>
    <x v="0"/>
    <x v="5"/>
    <m/>
    <m/>
    <m/>
    <m/>
    <m/>
    <m/>
  </r>
  <r>
    <x v="31"/>
    <x v="0"/>
    <x v="5"/>
    <x v="2"/>
    <n v="6"/>
    <n v="150000"/>
    <n v="900000"/>
    <x v="0"/>
    <x v="10"/>
    <m/>
    <m/>
    <m/>
    <m/>
    <m/>
    <m/>
  </r>
  <r>
    <x v="27"/>
    <x v="3"/>
    <x v="0"/>
    <x v="0"/>
    <n v="20"/>
    <n v="250000"/>
    <n v="5000000"/>
    <x v="0"/>
    <x v="6"/>
    <m/>
    <m/>
    <m/>
    <m/>
    <m/>
    <m/>
  </r>
  <r>
    <x v="19"/>
    <x v="0"/>
    <x v="3"/>
    <x v="3"/>
    <n v="12"/>
    <n v="65000"/>
    <n v="780000"/>
    <x v="0"/>
    <x v="11"/>
    <m/>
    <m/>
    <m/>
    <m/>
    <m/>
    <m/>
  </r>
  <r>
    <x v="32"/>
    <x v="0"/>
    <x v="3"/>
    <x v="3"/>
    <n v="4"/>
    <n v="65000"/>
    <n v="260000"/>
    <x v="5"/>
    <x v="12"/>
    <m/>
    <m/>
    <m/>
    <m/>
    <m/>
    <m/>
  </r>
  <r>
    <x v="33"/>
    <x v="1"/>
    <x v="4"/>
    <x v="4"/>
    <n v="18"/>
    <n v="175000"/>
    <n v="3150000"/>
    <x v="6"/>
    <x v="0"/>
    <m/>
    <m/>
    <m/>
    <m/>
    <m/>
    <m/>
  </r>
  <r>
    <x v="34"/>
    <x v="2"/>
    <x v="2"/>
    <x v="2"/>
    <n v="10"/>
    <n v="180000"/>
    <n v="1800000"/>
    <x v="5"/>
    <x v="4"/>
    <m/>
    <m/>
    <m/>
    <m/>
    <m/>
    <m/>
  </r>
  <r>
    <x v="35"/>
    <x v="1"/>
    <x v="7"/>
    <x v="3"/>
    <n v="10"/>
    <n v="65000"/>
    <n v="650000"/>
    <x v="8"/>
    <x v="1"/>
    <m/>
    <m/>
    <m/>
    <m/>
    <m/>
    <m/>
  </r>
  <r>
    <x v="11"/>
    <x v="2"/>
    <x v="5"/>
    <x v="2"/>
    <n v="3"/>
    <n v="150000"/>
    <n v="450000"/>
    <x v="5"/>
    <x v="12"/>
    <m/>
    <m/>
    <m/>
    <m/>
    <m/>
    <m/>
  </r>
  <r>
    <x v="36"/>
    <x v="0"/>
    <x v="2"/>
    <x v="2"/>
    <n v="8"/>
    <n v="180000"/>
    <n v="1440000"/>
    <x v="3"/>
    <x v="6"/>
    <m/>
    <m/>
    <m/>
    <m/>
    <m/>
    <m/>
  </r>
  <r>
    <x v="37"/>
    <x v="0"/>
    <x v="0"/>
    <x v="0"/>
    <n v="3"/>
    <n v="250000"/>
    <n v="750000"/>
    <x v="5"/>
    <x v="4"/>
    <m/>
    <m/>
    <m/>
    <m/>
    <m/>
    <m/>
  </r>
  <r>
    <x v="38"/>
    <x v="1"/>
    <x v="6"/>
    <x v="5"/>
    <n v="18"/>
    <n v="85000"/>
    <n v="1530000"/>
    <x v="1"/>
    <x v="5"/>
    <m/>
    <m/>
    <m/>
    <m/>
    <m/>
    <m/>
  </r>
  <r>
    <x v="39"/>
    <x v="3"/>
    <x v="5"/>
    <x v="2"/>
    <n v="9"/>
    <n v="150000"/>
    <n v="1350000"/>
    <x v="5"/>
    <x v="7"/>
    <m/>
    <m/>
    <m/>
    <m/>
    <m/>
    <m/>
  </r>
  <r>
    <x v="40"/>
    <x v="1"/>
    <x v="5"/>
    <x v="2"/>
    <n v="18"/>
    <n v="150000"/>
    <n v="2700000"/>
    <x v="2"/>
    <x v="5"/>
    <m/>
    <m/>
    <m/>
    <m/>
    <m/>
    <m/>
  </r>
  <r>
    <x v="41"/>
    <x v="3"/>
    <x v="5"/>
    <x v="2"/>
    <n v="11"/>
    <n v="150000"/>
    <n v="1650000"/>
    <x v="5"/>
    <x v="4"/>
    <m/>
    <m/>
    <m/>
    <m/>
    <m/>
    <m/>
  </r>
  <r>
    <x v="42"/>
    <x v="0"/>
    <x v="1"/>
    <x v="1"/>
    <n v="4"/>
    <n v="350000"/>
    <n v="1400000"/>
    <x v="6"/>
    <x v="3"/>
    <m/>
    <m/>
    <m/>
    <m/>
    <m/>
    <m/>
  </r>
  <r>
    <x v="18"/>
    <x v="0"/>
    <x v="5"/>
    <x v="2"/>
    <n v="19"/>
    <n v="150000"/>
    <n v="2850000"/>
    <x v="9"/>
    <x v="7"/>
    <m/>
    <m/>
    <m/>
    <m/>
    <m/>
    <m/>
  </r>
  <r>
    <x v="43"/>
    <x v="1"/>
    <x v="6"/>
    <x v="5"/>
    <n v="7"/>
    <n v="85000"/>
    <n v="595000"/>
    <x v="3"/>
    <x v="0"/>
    <m/>
    <m/>
    <m/>
    <m/>
    <m/>
    <m/>
  </r>
  <r>
    <x v="44"/>
    <x v="3"/>
    <x v="3"/>
    <x v="3"/>
    <n v="13"/>
    <n v="65000"/>
    <n v="845000"/>
    <x v="2"/>
    <x v="10"/>
    <m/>
    <m/>
    <m/>
    <m/>
    <m/>
    <m/>
  </r>
  <r>
    <x v="45"/>
    <x v="1"/>
    <x v="3"/>
    <x v="3"/>
    <n v="18"/>
    <n v="65000"/>
    <n v="1170000"/>
    <x v="6"/>
    <x v="3"/>
    <m/>
    <m/>
    <m/>
    <m/>
    <m/>
    <m/>
  </r>
  <r>
    <x v="21"/>
    <x v="3"/>
    <x v="3"/>
    <x v="3"/>
    <n v="5"/>
    <n v="65000"/>
    <n v="325000"/>
    <x v="3"/>
    <x v="7"/>
    <m/>
    <m/>
    <m/>
    <m/>
    <m/>
    <m/>
  </r>
  <r>
    <x v="46"/>
    <x v="0"/>
    <x v="1"/>
    <x v="1"/>
    <n v="13"/>
    <n v="350000"/>
    <n v="4550000"/>
    <x v="4"/>
    <x v="10"/>
    <m/>
    <m/>
    <m/>
    <m/>
    <m/>
    <m/>
  </r>
  <r>
    <x v="47"/>
    <x v="3"/>
    <x v="1"/>
    <x v="1"/>
    <n v="19"/>
    <n v="350000"/>
    <n v="6650000"/>
    <x v="1"/>
    <x v="3"/>
    <m/>
    <m/>
    <m/>
    <m/>
    <m/>
    <m/>
  </r>
  <r>
    <x v="48"/>
    <x v="2"/>
    <x v="2"/>
    <x v="2"/>
    <n v="9"/>
    <n v="180000"/>
    <n v="1620000"/>
    <x v="3"/>
    <x v="13"/>
    <m/>
    <m/>
    <m/>
    <m/>
    <m/>
    <m/>
  </r>
  <r>
    <x v="49"/>
    <x v="1"/>
    <x v="5"/>
    <x v="2"/>
    <n v="10"/>
    <n v="150000"/>
    <n v="1500000"/>
    <x v="4"/>
    <x v="11"/>
    <m/>
    <m/>
    <m/>
    <m/>
    <m/>
    <m/>
  </r>
  <r>
    <x v="25"/>
    <x v="1"/>
    <x v="6"/>
    <x v="5"/>
    <n v="10"/>
    <n v="85000"/>
    <n v="850000"/>
    <x v="3"/>
    <x v="7"/>
    <m/>
    <m/>
    <m/>
    <m/>
    <m/>
    <m/>
  </r>
  <r>
    <x v="50"/>
    <x v="0"/>
    <x v="0"/>
    <x v="0"/>
    <n v="5"/>
    <n v="250000"/>
    <n v="1250000"/>
    <x v="3"/>
    <x v="2"/>
    <m/>
    <m/>
    <m/>
    <m/>
    <m/>
    <m/>
  </r>
  <r>
    <x v="17"/>
    <x v="1"/>
    <x v="5"/>
    <x v="2"/>
    <n v="1"/>
    <n v="150000"/>
    <n v="150000"/>
    <x v="6"/>
    <x v="1"/>
    <m/>
    <m/>
    <m/>
    <m/>
    <m/>
    <m/>
  </r>
  <r>
    <x v="51"/>
    <x v="0"/>
    <x v="5"/>
    <x v="2"/>
    <n v="20"/>
    <n v="150000"/>
    <n v="3000000"/>
    <x v="3"/>
    <x v="8"/>
    <m/>
    <m/>
    <m/>
    <m/>
    <m/>
    <m/>
  </r>
  <r>
    <x v="27"/>
    <x v="0"/>
    <x v="1"/>
    <x v="1"/>
    <n v="11"/>
    <n v="350000"/>
    <n v="3850000"/>
    <x v="4"/>
    <x v="9"/>
    <m/>
    <m/>
    <m/>
    <m/>
    <m/>
    <m/>
  </r>
  <r>
    <x v="44"/>
    <x v="1"/>
    <x v="0"/>
    <x v="0"/>
    <n v="14"/>
    <n v="250000"/>
    <n v="3500000"/>
    <x v="4"/>
    <x v="4"/>
    <m/>
    <m/>
    <m/>
    <m/>
    <m/>
    <m/>
  </r>
  <r>
    <x v="52"/>
    <x v="3"/>
    <x v="5"/>
    <x v="2"/>
    <n v="3"/>
    <n v="150000"/>
    <n v="450000"/>
    <x v="3"/>
    <x v="0"/>
    <m/>
    <m/>
    <m/>
    <m/>
    <m/>
    <m/>
  </r>
  <r>
    <x v="28"/>
    <x v="1"/>
    <x v="6"/>
    <x v="5"/>
    <n v="6"/>
    <n v="85000"/>
    <n v="510000"/>
    <x v="2"/>
    <x v="8"/>
    <m/>
    <m/>
    <m/>
    <m/>
    <m/>
    <m/>
  </r>
  <r>
    <x v="36"/>
    <x v="3"/>
    <x v="1"/>
    <x v="1"/>
    <n v="15"/>
    <n v="350000"/>
    <n v="5250000"/>
    <x v="4"/>
    <x v="9"/>
    <m/>
    <m/>
    <m/>
    <m/>
    <m/>
    <m/>
  </r>
  <r>
    <x v="53"/>
    <x v="2"/>
    <x v="5"/>
    <x v="2"/>
    <n v="16"/>
    <n v="150000"/>
    <n v="2400000"/>
    <x v="1"/>
    <x v="4"/>
    <m/>
    <m/>
    <m/>
    <m/>
    <m/>
    <m/>
  </r>
  <r>
    <x v="54"/>
    <x v="1"/>
    <x v="4"/>
    <x v="4"/>
    <n v="8"/>
    <n v="175000"/>
    <n v="1400000"/>
    <x v="0"/>
    <x v="0"/>
    <m/>
    <m/>
    <m/>
    <m/>
    <m/>
    <m/>
  </r>
  <r>
    <x v="55"/>
    <x v="0"/>
    <x v="6"/>
    <x v="5"/>
    <n v="2"/>
    <n v="85000"/>
    <n v="170000"/>
    <x v="4"/>
    <x v="7"/>
    <m/>
    <m/>
    <m/>
    <m/>
    <m/>
    <m/>
  </r>
  <r>
    <x v="51"/>
    <x v="2"/>
    <x v="0"/>
    <x v="0"/>
    <n v="13"/>
    <n v="250000"/>
    <n v="3250000"/>
    <x v="6"/>
    <x v="4"/>
    <m/>
    <m/>
    <m/>
    <m/>
    <m/>
    <m/>
  </r>
  <r>
    <x v="56"/>
    <x v="3"/>
    <x v="3"/>
    <x v="3"/>
    <n v="11"/>
    <n v="65000"/>
    <n v="715000"/>
    <x v="4"/>
    <x v="9"/>
    <m/>
    <m/>
    <m/>
    <m/>
    <m/>
    <m/>
  </r>
  <r>
    <x v="28"/>
    <x v="0"/>
    <x v="1"/>
    <x v="1"/>
    <n v="17"/>
    <n v="350000"/>
    <n v="5950000"/>
    <x v="4"/>
    <x v="6"/>
    <m/>
    <m/>
    <m/>
    <m/>
    <m/>
    <m/>
  </r>
  <r>
    <x v="44"/>
    <x v="3"/>
    <x v="3"/>
    <x v="3"/>
    <n v="18"/>
    <n v="65000"/>
    <n v="1170000"/>
    <x v="4"/>
    <x v="10"/>
    <m/>
    <m/>
    <m/>
    <m/>
    <m/>
    <m/>
  </r>
  <r>
    <x v="57"/>
    <x v="1"/>
    <x v="2"/>
    <x v="2"/>
    <n v="13"/>
    <n v="180000"/>
    <n v="2340000"/>
    <x v="6"/>
    <x v="2"/>
    <m/>
    <m/>
    <m/>
    <m/>
    <m/>
    <m/>
  </r>
  <r>
    <x v="58"/>
    <x v="0"/>
    <x v="4"/>
    <x v="4"/>
    <n v="10"/>
    <n v="175000"/>
    <n v="1750000"/>
    <x v="3"/>
    <x v="3"/>
    <m/>
    <m/>
    <m/>
    <m/>
    <m/>
    <m/>
  </r>
  <r>
    <x v="59"/>
    <x v="1"/>
    <x v="6"/>
    <x v="5"/>
    <n v="5"/>
    <n v="85000"/>
    <n v="425000"/>
    <x v="6"/>
    <x v="13"/>
    <m/>
    <m/>
    <m/>
    <m/>
    <m/>
    <m/>
  </r>
  <r>
    <x v="60"/>
    <x v="2"/>
    <x v="1"/>
    <x v="1"/>
    <n v="17"/>
    <n v="350000"/>
    <n v="5950000"/>
    <x v="5"/>
    <x v="8"/>
    <m/>
    <m/>
    <m/>
    <m/>
    <m/>
    <m/>
  </r>
  <r>
    <x v="49"/>
    <x v="2"/>
    <x v="1"/>
    <x v="1"/>
    <n v="13"/>
    <n v="350000"/>
    <n v="4550000"/>
    <x v="2"/>
    <x v="8"/>
    <m/>
    <m/>
    <m/>
    <m/>
    <m/>
    <m/>
  </r>
  <r>
    <x v="61"/>
    <x v="2"/>
    <x v="1"/>
    <x v="1"/>
    <n v="8"/>
    <n v="350000"/>
    <n v="2800000"/>
    <x v="1"/>
    <x v="11"/>
    <m/>
    <m/>
    <m/>
    <m/>
    <m/>
    <m/>
  </r>
  <r>
    <x v="62"/>
    <x v="0"/>
    <x v="6"/>
    <x v="5"/>
    <n v="13"/>
    <n v="85000"/>
    <n v="1105000"/>
    <x v="3"/>
    <x v="11"/>
    <m/>
    <m/>
    <m/>
    <m/>
    <m/>
    <m/>
  </r>
  <r>
    <x v="63"/>
    <x v="1"/>
    <x v="5"/>
    <x v="2"/>
    <n v="17"/>
    <n v="150000"/>
    <n v="2550000"/>
    <x v="2"/>
    <x v="1"/>
    <m/>
    <m/>
    <m/>
    <m/>
    <m/>
    <m/>
  </r>
  <r>
    <x v="18"/>
    <x v="0"/>
    <x v="3"/>
    <x v="3"/>
    <n v="19"/>
    <n v="65000"/>
    <n v="1235000"/>
    <x v="6"/>
    <x v="10"/>
    <m/>
    <m/>
    <m/>
    <m/>
    <m/>
    <m/>
  </r>
  <r>
    <x v="64"/>
    <x v="2"/>
    <x v="5"/>
    <x v="2"/>
    <n v="1"/>
    <n v="150000"/>
    <n v="150000"/>
    <x v="6"/>
    <x v="13"/>
    <m/>
    <m/>
    <m/>
    <m/>
    <m/>
    <m/>
  </r>
  <r>
    <x v="65"/>
    <x v="1"/>
    <x v="0"/>
    <x v="0"/>
    <n v="13"/>
    <n v="250000"/>
    <n v="3250000"/>
    <x v="4"/>
    <x v="11"/>
    <m/>
    <m/>
    <m/>
    <m/>
    <m/>
    <m/>
  </r>
  <r>
    <x v="66"/>
    <x v="1"/>
    <x v="3"/>
    <x v="3"/>
    <n v="18"/>
    <n v="65000"/>
    <n v="1170000"/>
    <x v="4"/>
    <x v="12"/>
    <m/>
    <m/>
    <m/>
    <m/>
    <m/>
    <m/>
  </r>
  <r>
    <x v="16"/>
    <x v="2"/>
    <x v="0"/>
    <x v="0"/>
    <n v="20"/>
    <n v="250000"/>
    <n v="5000000"/>
    <x v="3"/>
    <x v="6"/>
    <m/>
    <m/>
    <m/>
    <m/>
    <m/>
    <m/>
  </r>
  <r>
    <x v="67"/>
    <x v="1"/>
    <x v="2"/>
    <x v="2"/>
    <n v="4"/>
    <n v="180000"/>
    <n v="720000"/>
    <x v="3"/>
    <x v="1"/>
    <m/>
    <m/>
    <m/>
    <m/>
    <m/>
    <m/>
  </r>
  <r>
    <x v="68"/>
    <x v="0"/>
    <x v="5"/>
    <x v="2"/>
    <n v="5"/>
    <n v="150000"/>
    <n v="750000"/>
    <x v="4"/>
    <x v="5"/>
    <m/>
    <m/>
    <m/>
    <m/>
    <m/>
    <m/>
  </r>
  <r>
    <x v="69"/>
    <x v="3"/>
    <x v="0"/>
    <x v="0"/>
    <n v="11"/>
    <n v="250000"/>
    <n v="2750000"/>
    <x v="2"/>
    <x v="6"/>
    <m/>
    <m/>
    <m/>
    <m/>
    <m/>
    <m/>
  </r>
  <r>
    <x v="70"/>
    <x v="1"/>
    <x v="0"/>
    <x v="0"/>
    <n v="20"/>
    <n v="250000"/>
    <n v="5000000"/>
    <x v="1"/>
    <x v="10"/>
    <m/>
    <m/>
    <m/>
    <m/>
    <m/>
    <m/>
  </r>
  <r>
    <x v="71"/>
    <x v="3"/>
    <x v="6"/>
    <x v="5"/>
    <n v="7"/>
    <n v="85000"/>
    <n v="595000"/>
    <x v="2"/>
    <x v="10"/>
    <m/>
    <m/>
    <m/>
    <m/>
    <m/>
    <m/>
  </r>
  <r>
    <x v="39"/>
    <x v="1"/>
    <x v="0"/>
    <x v="0"/>
    <n v="5"/>
    <n v="250000"/>
    <n v="1250000"/>
    <x v="5"/>
    <x v="12"/>
    <m/>
    <m/>
    <m/>
    <m/>
    <m/>
    <m/>
  </r>
  <r>
    <x v="72"/>
    <x v="1"/>
    <x v="4"/>
    <x v="4"/>
    <n v="19"/>
    <n v="175000"/>
    <n v="3325000"/>
    <x v="5"/>
    <x v="7"/>
    <m/>
    <m/>
    <m/>
    <m/>
    <m/>
    <m/>
  </r>
  <r>
    <x v="73"/>
    <x v="1"/>
    <x v="1"/>
    <x v="1"/>
    <n v="14"/>
    <n v="350000"/>
    <n v="4900000"/>
    <x v="6"/>
    <x v="1"/>
    <m/>
    <m/>
    <m/>
    <m/>
    <m/>
    <m/>
  </r>
  <r>
    <x v="74"/>
    <x v="1"/>
    <x v="4"/>
    <x v="4"/>
    <n v="20"/>
    <n v="175000"/>
    <n v="3500000"/>
    <x v="5"/>
    <x v="0"/>
    <m/>
    <m/>
    <m/>
    <m/>
    <m/>
    <m/>
  </r>
  <r>
    <x v="71"/>
    <x v="0"/>
    <x v="6"/>
    <x v="5"/>
    <n v="18"/>
    <n v="85000"/>
    <n v="1530000"/>
    <x v="0"/>
    <x v="9"/>
    <m/>
    <m/>
    <m/>
    <m/>
    <m/>
    <m/>
  </r>
  <r>
    <x v="75"/>
    <x v="2"/>
    <x v="4"/>
    <x v="4"/>
    <n v="17"/>
    <n v="175000"/>
    <n v="2975000"/>
    <x v="1"/>
    <x v="8"/>
    <m/>
    <m/>
    <m/>
    <m/>
    <m/>
    <m/>
  </r>
  <r>
    <x v="50"/>
    <x v="0"/>
    <x v="0"/>
    <x v="0"/>
    <n v="20"/>
    <n v="250000"/>
    <n v="5000000"/>
    <x v="2"/>
    <x v="1"/>
    <m/>
    <m/>
    <m/>
    <m/>
    <m/>
    <m/>
  </r>
  <r>
    <x v="76"/>
    <x v="0"/>
    <x v="1"/>
    <x v="1"/>
    <n v="20"/>
    <n v="350000"/>
    <n v="7000000"/>
    <x v="0"/>
    <x v="10"/>
    <m/>
    <m/>
    <m/>
    <m/>
    <m/>
    <m/>
  </r>
  <r>
    <x v="77"/>
    <x v="3"/>
    <x v="5"/>
    <x v="2"/>
    <n v="18"/>
    <n v="150000"/>
    <n v="2700000"/>
    <x v="6"/>
    <x v="5"/>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A5AAEE-03A0-4915-BEA1-4593DDD96C6A}" name="PivotTable48"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13">
  <location ref="D3:E14"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dataField="1" numFmtId="165"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s>
  <rowFields count="2">
    <field x="16"/>
    <field x="15"/>
  </rowFields>
  <rowItems count="11">
    <i>
      <x v="3"/>
    </i>
    <i r="1">
      <x v="8"/>
    </i>
    <i>
      <x v="2"/>
    </i>
    <i r="1">
      <x v="4"/>
    </i>
    <i r="1">
      <x v="5"/>
    </i>
    <i r="1">
      <x v="6"/>
    </i>
    <i>
      <x v="1"/>
    </i>
    <i r="1">
      <x v="1"/>
    </i>
    <i r="1">
      <x v="2"/>
    </i>
    <i r="1">
      <x v="3"/>
    </i>
    <i t="grand">
      <x/>
    </i>
  </rowItems>
  <colItems count="1">
    <i/>
  </colItems>
  <dataFields count="1">
    <dataField name="Sum of Sales" fld="6" baseField="0" baseItem="0" numFmtId="170"/>
  </dataFields>
  <formats count="5">
    <format dxfId="10">
      <pivotArea outline="0" collapsedLevelsAreSubtotals="1" fieldPosition="0"/>
    </format>
    <format dxfId="11">
      <pivotArea collapsedLevelsAreSubtotals="1" fieldPosition="0">
        <references count="1">
          <reference field="16" count="1">
            <x v="2"/>
          </reference>
        </references>
      </pivotArea>
    </format>
    <format dxfId="12">
      <pivotArea collapsedLevelsAreSubtotals="1" fieldPosition="0">
        <references count="1">
          <reference field="16" count="1">
            <x v="3"/>
          </reference>
        </references>
      </pivotArea>
    </format>
    <format dxfId="13">
      <pivotArea collapsedLevelsAreSubtotals="1" fieldPosition="0">
        <references count="1">
          <reference field="16" count="1">
            <x v="1"/>
          </reference>
        </references>
      </pivotArea>
    </format>
    <format dxfId="14">
      <pivotArea grandRow="1"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795DC0-2B0E-4C70-AEBD-33343675CB79}" name="PivotTable60"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3">
  <location ref="J35:K39"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axis="axisRow" showAll="0" measureFilter="1"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v="2"/>
    </i>
    <i>
      <x v="3"/>
    </i>
    <i>
      <x v="4"/>
    </i>
    <i t="grand">
      <x/>
    </i>
  </rowItems>
  <colItems count="1">
    <i/>
  </colItems>
  <dataFields count="1">
    <dataField name="Sum of Sales" fld="6" baseField="0" baseItem="0" numFmtId="167"/>
  </dataFields>
  <formats count="1">
    <format dxfId="2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ADCEC0-0761-42D5-9352-F1F723C245ED}" name="PivotTable51"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M3:N14"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dataField="1" numFmtId="165" showAll="0"/>
    <pivotField axis="axisRow" showAll="0">
      <items count="11">
        <item x="8"/>
        <item x="3"/>
        <item x="4"/>
        <item x="2"/>
        <item x="6"/>
        <item x="1"/>
        <item x="7"/>
        <item x="5"/>
        <item x="0"/>
        <item x="9"/>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11">
    <i>
      <x/>
    </i>
    <i>
      <x v="1"/>
    </i>
    <i>
      <x v="2"/>
    </i>
    <i>
      <x v="3"/>
    </i>
    <i>
      <x v="4"/>
    </i>
    <i>
      <x v="5"/>
    </i>
    <i>
      <x v="6"/>
    </i>
    <i>
      <x v="7"/>
    </i>
    <i>
      <x v="8"/>
    </i>
    <i>
      <x v="9"/>
    </i>
    <i t="grand">
      <x/>
    </i>
  </rowItems>
  <colItems count="1">
    <i/>
  </colItems>
  <dataFields count="1">
    <dataField name="Sum of Sales" fld="6" baseField="0" baseItem="0" numFmtId="43"/>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8598AB-A2B9-4749-BA57-E18DC5302BC7}" name="PivotTable49"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G3:H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1"/>
        <item x="2"/>
        <item x="0"/>
        <item x="3"/>
        <item t="default"/>
      </items>
    </pivotField>
    <pivotField showAll="0"/>
    <pivotField showAll="0"/>
    <pivotField showAll="0"/>
    <pivotField numFmtId="165" showAll="0"/>
    <pivotField dataField="1"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5">
    <i>
      <x/>
    </i>
    <i>
      <x v="1"/>
    </i>
    <i>
      <x v="2"/>
    </i>
    <i>
      <x v="3"/>
    </i>
    <i t="grand">
      <x/>
    </i>
  </rowItems>
  <colItems count="1">
    <i/>
  </colItems>
  <dataFields count="1">
    <dataField name="Sum of Sales" fld="6" baseField="0" baseItem="0" numFmtId="43"/>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1D720C-1C40-4909-A79A-32B745D8502D}" name="PivotTable56"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B35:C46"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axis="axisRow" showAll="0"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11">
    <i>
      <x v="2"/>
    </i>
    <i>
      <x v="3"/>
    </i>
    <i>
      <x v="4"/>
    </i>
    <i>
      <x v="5"/>
    </i>
    <i>
      <x v="8"/>
    </i>
    <i>
      <x v="7"/>
    </i>
    <i>
      <x v="1"/>
    </i>
    <i>
      <x v="6"/>
    </i>
    <i>
      <x v="9"/>
    </i>
    <i>
      <x/>
    </i>
    <i t="grand">
      <x/>
    </i>
  </rowItems>
  <colItems count="1">
    <i/>
  </colItems>
  <dataFields count="1">
    <dataField name="Sum of Sales" fld="6" baseField="0" baseItem="0" numFmtId="43"/>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F9C79B-7B55-499D-B087-5E4EF295D9A6}" name="PivotTable72"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B73:C8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sortType="descending">
      <autoSortScope>
        <pivotArea dataOnly="0" outline="0" fieldPosition="0">
          <references count="1">
            <reference field="4294967294" count="1" selected="0">
              <x v="0"/>
            </reference>
          </references>
        </pivotArea>
      </autoSortScope>
    </pivotField>
    <pivotField axis="axisRow" showAll="0">
      <items count="15">
        <item x="13"/>
        <item x="5"/>
        <item x="0"/>
        <item x="4"/>
        <item x="8"/>
        <item x="10"/>
        <item x="3"/>
        <item x="7"/>
        <item x="11"/>
        <item x="1"/>
        <item x="6"/>
        <item x="9"/>
        <item x="12"/>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15">
    <i>
      <x/>
    </i>
    <i>
      <x v="1"/>
    </i>
    <i>
      <x v="2"/>
    </i>
    <i>
      <x v="3"/>
    </i>
    <i>
      <x v="4"/>
    </i>
    <i>
      <x v="5"/>
    </i>
    <i>
      <x v="6"/>
    </i>
    <i>
      <x v="7"/>
    </i>
    <i>
      <x v="8"/>
    </i>
    <i>
      <x v="9"/>
    </i>
    <i>
      <x v="10"/>
    </i>
    <i>
      <x v="11"/>
    </i>
    <i>
      <x v="12"/>
    </i>
    <i>
      <x v="13"/>
    </i>
    <i t="grand">
      <x/>
    </i>
  </rowItems>
  <colItems count="1">
    <i/>
  </colItems>
  <dataFields count="1">
    <dataField name="Sum of Sales" fld="6" baseField="0" baseItem="0" numFmtId="43"/>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7D6AD1-2564-4CEA-B577-B0551747D867}" name="PivotTable77"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14">
  <location ref="K73:L79"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numFmtId="165" showAll="0"/>
    <pivotField numFmtId="165" showAll="0"/>
    <pivotField showAll="0"/>
    <pivotField axis="axisRow" showAll="0" measureFilter="1" sortType="ascending">
      <items count="15">
        <item x="13"/>
        <item x="5"/>
        <item x="0"/>
        <item x="4"/>
        <item x="8"/>
        <item x="10"/>
        <item x="3"/>
        <item x="7"/>
        <item x="11"/>
        <item x="1"/>
        <item x="6"/>
        <item x="9"/>
        <item x="12"/>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6">
    <i>
      <x v="1"/>
    </i>
    <i>
      <x v="4"/>
    </i>
    <i>
      <x v="10"/>
    </i>
    <i>
      <x v="9"/>
    </i>
    <i>
      <x v="5"/>
    </i>
    <i t="grand">
      <x/>
    </i>
  </rowItems>
  <colItems count="1">
    <i/>
  </colItems>
  <dataFields count="1">
    <dataField name="Sum of Units Sold" fld="4" baseField="0" baseItem="0" numFmtId="166"/>
  </dataFields>
  <formats count="1">
    <format dxfId="26">
      <pivotArea outline="0" collapsedLevelsAreSubtotals="1" fieldPosition="0"/>
    </format>
  </formats>
  <pivotTableStyleInfo name="PivotStyleLight16" showRowHeaders="1" showColHeaders="1" showRowStripes="0" showColStripes="0" showLastColumn="1"/>
  <filters count="1">
    <filter fld="8"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463284-166B-408B-91F6-1C6C87B6D28C}" name="PivotTable66"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L25:M30"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5">
    <i>
      <x/>
    </i>
    <i>
      <x v="2"/>
    </i>
    <i>
      <x v="3"/>
    </i>
    <i>
      <x v="1"/>
    </i>
    <i t="grand">
      <x/>
    </i>
  </rowItems>
  <colItems count="1">
    <i/>
  </colItems>
  <dataFields count="1">
    <dataField name="Sum of Sales" fld="6" baseField="0" baseItem="0"/>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12D780-F9B6-4644-AF0C-D692BEE674E4}" name="PivotTable65"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I25:J30"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1"/>
        <item x="2"/>
        <item x="0"/>
        <item x="3"/>
        <item t="default"/>
      </items>
    </pivotField>
    <pivotField showAll="0"/>
    <pivotField showAll="0"/>
    <pivotField dataField="1" showAll="0"/>
    <pivotField numFmtId="165" showAll="0"/>
    <pivotField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5">
    <i>
      <x/>
    </i>
    <i>
      <x v="1"/>
    </i>
    <i>
      <x v="2"/>
    </i>
    <i>
      <x v="3"/>
    </i>
    <i t="grand">
      <x/>
    </i>
  </rowItems>
  <colItems count="1">
    <i/>
  </colItems>
  <dataFields count="1">
    <dataField name="Sum of Units Sold" fld="4" showDataAs="percentOfTotal" baseField="0" baseItem="0" numFmtId="10"/>
  </dataFields>
  <formats count="2">
    <format dxfId="29">
      <pivotArea outline="0" collapsedLevelsAreSubtotals="1" fieldPosition="0"/>
    </format>
    <format dxfId="2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F8A610-AD60-4710-820B-17B8CF692ADB}" name="PivotTable83"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P35:P36" firstHeaderRow="1" firstDataRow="1" firstDataCol="0"/>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numFmtId="165"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Total no of Units Sold" fld="12" baseField="0" baseItem="0"/>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45F464-3490-4CE2-9E5C-7FC73B56F152}" name="PivotTable76"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8">
  <location ref="H73:I77"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sortType="descending">
      <autoSortScope>
        <pivotArea dataOnly="0" outline="0" fieldPosition="0">
          <references count="1">
            <reference field="4294967294" count="1" selected="0">
              <x v="0"/>
            </reference>
          </references>
        </pivotArea>
      </autoSortScope>
    </pivotField>
    <pivotField axis="axisRow" showAll="0" measureFilter="1" sortType="ascending">
      <items count="15">
        <item x="13"/>
        <item x="5"/>
        <item x="0"/>
        <item x="4"/>
        <item x="8"/>
        <item x="10"/>
        <item x="3"/>
        <item x="7"/>
        <item x="11"/>
        <item x="1"/>
        <item x="6"/>
        <item x="9"/>
        <item x="12"/>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4">
    <i>
      <x v="10"/>
    </i>
    <i>
      <x v="9"/>
    </i>
    <i>
      <x v="5"/>
    </i>
    <i t="grand">
      <x/>
    </i>
  </rowItems>
  <colItems count="1">
    <i/>
  </colItems>
  <dataFields count="1">
    <dataField name="Sum of Sales" fld="6" baseField="0" baseItem="0" numFmtId="167"/>
  </dataFields>
  <formats count="1">
    <format dxfId="31">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F1D2A1-A0E5-48D2-8B80-5A72EEE40A20}" name="PivotTable80"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N73:N74" firstHeaderRow="1" firstDataRow="1" firstDataCol="0"/>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numFmtId="165"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Total no of Customers" fld="11" baseField="0" baseItem="0" numFmtId="166"/>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9807B5B-B31B-4DD5-BDB8-C65F230F5E5B}" name="PivotTable69"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F51:K61" firstHeaderRow="1" firstDataRow="2"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5">
        <item x="1"/>
        <item x="2"/>
        <item x="0"/>
        <item x="3"/>
        <item t="default"/>
      </items>
    </pivotField>
    <pivotField axis="axisRow" showAll="0">
      <items count="9">
        <item sd="0" x="4"/>
        <item sd="0" x="0"/>
        <item sd="0" x="3"/>
        <item sd="0" x="2"/>
        <item sd="0" x="6"/>
        <item sd="0" x="5"/>
        <item sd="0" x="1"/>
        <item sd="0" x="7"/>
        <item t="default"/>
      </items>
    </pivotField>
    <pivotField axis="axisRow" showAll="0">
      <items count="7">
        <item x="5"/>
        <item x="0"/>
        <item x="1"/>
        <item x="2"/>
        <item x="3"/>
        <item x="4"/>
        <item t="default"/>
      </items>
    </pivotField>
    <pivotField dataField="1" showAll="0"/>
    <pivotField numFmtId="165" showAll="0"/>
    <pivotField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2"/>
    <field x="3"/>
  </rowFields>
  <rowItems count="9">
    <i>
      <x/>
    </i>
    <i>
      <x v="1"/>
    </i>
    <i>
      <x v="2"/>
    </i>
    <i>
      <x v="3"/>
    </i>
    <i>
      <x v="4"/>
    </i>
    <i>
      <x v="5"/>
    </i>
    <i>
      <x v="6"/>
    </i>
    <i>
      <x v="7"/>
    </i>
    <i t="grand">
      <x/>
    </i>
  </rowItems>
  <colFields count="1">
    <field x="1"/>
  </colFields>
  <colItems count="5">
    <i>
      <x/>
    </i>
    <i>
      <x v="1"/>
    </i>
    <i>
      <x v="2"/>
    </i>
    <i>
      <x v="3"/>
    </i>
    <i t="grand">
      <x/>
    </i>
  </colItems>
  <dataFields count="1">
    <dataField name="Sum of Units Sold" fld="4" baseField="0" baseItem="0" numFmtId="166"/>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FD3E258-9761-4480-BAAD-3CAA27BE5E6C}" name="PivotTable62"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3">
  <location ref="M35:N39"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numFmtId="165" showAll="0"/>
    <pivotField numFmtId="165" showAll="0"/>
    <pivotField axis="axisRow" showAll="0" measureFilter="1"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v="2"/>
    </i>
    <i>
      <x v="3"/>
    </i>
    <i>
      <x v="4"/>
    </i>
    <i t="grand">
      <x/>
    </i>
  </rowItems>
  <colItems count="1">
    <i/>
  </colItems>
  <dataFields count="1">
    <dataField name="Sum of Units Sold" fld="4" baseField="0" baseItem="0" numFmtId="166"/>
  </dataFields>
  <formats count="1">
    <format dxfId="34">
      <pivotArea outline="0" collapsedLevelsAreSubtotals="1" fieldPosition="0"/>
    </format>
  </formats>
  <pivotTableStyleInfo name="PivotStyleLight16" showRowHeaders="1" showColHeaders="1" showRowStripes="0" showColStripes="0" showLastColumn="1"/>
  <filters count="1">
    <filter fld="7"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7B750AF-5D30-4AEF-A065-BCE3436FFE63}" name="PivotTable52"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P3:Q1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dataField="1" numFmtId="165" showAll="0"/>
    <pivotField showAll="0"/>
    <pivotField axis="axisRow" showAll="0">
      <items count="15">
        <item x="13"/>
        <item x="5"/>
        <item x="0"/>
        <item x="4"/>
        <item x="8"/>
        <item x="10"/>
        <item x="3"/>
        <item x="7"/>
        <item x="11"/>
        <item x="1"/>
        <item x="6"/>
        <item x="9"/>
        <item x="12"/>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15">
    <i>
      <x/>
    </i>
    <i>
      <x v="1"/>
    </i>
    <i>
      <x v="2"/>
    </i>
    <i>
      <x v="3"/>
    </i>
    <i>
      <x v="4"/>
    </i>
    <i>
      <x v="5"/>
    </i>
    <i>
      <x v="6"/>
    </i>
    <i>
      <x v="7"/>
    </i>
    <i>
      <x v="8"/>
    </i>
    <i>
      <x v="9"/>
    </i>
    <i>
      <x v="10"/>
    </i>
    <i>
      <x v="11"/>
    </i>
    <i>
      <x v="12"/>
    </i>
    <i>
      <x v="13"/>
    </i>
    <i t="grand">
      <x/>
    </i>
  </rowItems>
  <colItems count="1">
    <i/>
  </colItems>
  <dataFields count="1">
    <dataField name="Sum of Sales" fld="6" baseField="0" baseItem="0" numFmtId="43"/>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CE54FB4-2DD2-47C6-ACE9-BCA66AEFEB72}" name="PivotTable78"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D35:D36" firstHeaderRow="1" firstDataRow="1" firstDataCol="0"/>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numFmtId="165"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Total no of Sales Rep" fld="10" baseField="0" baseItem="0" numFmtId="166"/>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20648FF-F074-4A34-BC16-8BC406EF694D}" name="PivotTable63"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M42:N46"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numFmtId="165" showAll="0"/>
    <pivotField numFmtId="165" showAll="0"/>
    <pivotField axis="axisRow" showAll="0" measureFilter="1"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v="9"/>
    </i>
    <i>
      <x v="6"/>
    </i>
    <i>
      <x/>
    </i>
    <i t="grand">
      <x/>
    </i>
  </rowItems>
  <colItems count="1">
    <i/>
  </colItems>
  <dataFields count="1">
    <dataField name="Sum of Units Sold" fld="4" baseField="0" baseItem="0" numFmtId="166"/>
  </dataFields>
  <formats count="1">
    <format dxfId="37">
      <pivotArea outline="0" collapsedLevelsAreSubtotals="1" fieldPosition="0"/>
    </format>
  </formats>
  <pivotTableStyleInfo name="PivotStyleLight16" showRowHeaders="1" showColHeaders="1" showRowStripes="0" showColStripes="0" showLastColumn="1"/>
  <filters count="1">
    <filter fld="7"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B0D517A-AA50-4D1B-A389-DF5184A33807}" name="PivotTable58"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F35:G46"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numFmtId="165" showAll="0"/>
    <pivotField numFmtId="165" showAll="0"/>
    <pivotField axis="axisRow" showAll="0"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11">
    <i>
      <x v="2"/>
    </i>
    <i>
      <x v="3"/>
    </i>
    <i>
      <x v="4"/>
    </i>
    <i>
      <x v="5"/>
    </i>
    <i>
      <x v="1"/>
    </i>
    <i>
      <x v="8"/>
    </i>
    <i>
      <x v="7"/>
    </i>
    <i>
      <x v="9"/>
    </i>
    <i>
      <x v="6"/>
    </i>
    <i>
      <x/>
    </i>
    <i t="grand">
      <x/>
    </i>
  </rowItems>
  <colItems count="1">
    <i/>
  </colItems>
  <dataFields count="1">
    <dataField name="Sum of Units Sold" fld="4" baseField="0" baseItem="0" numFmtId="166"/>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452072A-09F7-4DEC-856F-7A1EEC4F2518}" name="PivotTable85"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P42:P43" firstHeaderRow="1" firstDataRow="1" firstDataCol="0"/>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numFmtId="165"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Total no of Sales Rep" fld="10" baseField="0" baseItem="0"/>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C206EBF-51D7-4D97-A890-01625DE7C1C7}" name="PivotTable70"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3">
  <location ref="M51:N5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sortType="descending">
      <items count="7">
        <item sd="0" x="5"/>
        <item sd="0" x="0"/>
        <item sd="0" x="1"/>
        <item sd="0" x="2"/>
        <item sd="0" x="3"/>
        <item sd="0" x="4"/>
        <item t="default"/>
      </items>
      <autoSortScope>
        <pivotArea dataOnly="0" outline="0" fieldPosition="0">
          <references count="1">
            <reference field="4294967294" count="1" selected="0">
              <x v="0"/>
            </reference>
          </references>
        </pivotArea>
      </autoSortScope>
    </pivotField>
    <pivotField dataField="1" showAll="0"/>
    <pivotField numFmtId="165" showAll="0"/>
    <pivotField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7">
    <i>
      <x v="3"/>
    </i>
    <i>
      <x v="2"/>
    </i>
    <i>
      <x v="1"/>
    </i>
    <i>
      <x v="4"/>
    </i>
    <i>
      <x v="5"/>
    </i>
    <i>
      <x/>
    </i>
    <i t="grand">
      <x/>
    </i>
  </rowItems>
  <colItems count="1">
    <i/>
  </colItems>
  <dataFields count="1">
    <dataField name="Sum of Units Sold" fld="4" baseField="0" baseItem="0" numFmtId="166"/>
  </dataFields>
  <formats count="1">
    <format dxfId="4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123662A-6096-43D4-B5E6-D974FA4722F6}" name="PivotTable81"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H82:I8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sortType="descending">
      <autoSortScope>
        <pivotArea dataOnly="0" outline="0" fieldPosition="0">
          <references count="1">
            <reference field="4294967294" count="1" selected="0">
              <x v="0"/>
            </reference>
          </references>
        </pivotArea>
      </autoSortScope>
    </pivotField>
    <pivotField axis="axisRow" showAll="0" measureFilter="1" sortType="ascending">
      <items count="15">
        <item x="13"/>
        <item x="5"/>
        <item x="0"/>
        <item x="4"/>
        <item x="8"/>
        <item x="10"/>
        <item x="3"/>
        <item x="7"/>
        <item x="11"/>
        <item x="1"/>
        <item x="6"/>
        <item x="9"/>
        <item x="12"/>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6">
    <i>
      <x/>
    </i>
    <i>
      <x v="12"/>
    </i>
    <i>
      <x v="7"/>
    </i>
    <i>
      <x v="13"/>
    </i>
    <i>
      <x v="1"/>
    </i>
    <i t="grand">
      <x/>
    </i>
  </rowItems>
  <colItems count="1">
    <i/>
  </colItems>
  <dataFields count="1">
    <dataField name="Sum of Sales" fld="6" baseField="0" baseItem="0" numFmtId="43"/>
  </dataFields>
  <formats count="1">
    <format dxfId="41">
      <pivotArea outline="0" collapsedLevelsAreSubtotals="1" fieldPosition="0"/>
    </format>
  </formats>
  <pivotTableStyleInfo name="PivotStyleLight16" showRowHeaders="1" showColHeaders="1" showRowStripes="0" showColStripes="0" showLastColumn="1"/>
  <filters count="1">
    <filter fld="8"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ED4027E-73A8-49D3-98A4-F1B6BCFE369B}" name="PivotTable74"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E73:F8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numFmtId="165" showAll="0"/>
    <pivotField numFmtId="165" showAll="0"/>
    <pivotField showAll="0"/>
    <pivotField axis="axisRow" showAll="0" sortType="descending">
      <items count="15">
        <item x="13"/>
        <item x="5"/>
        <item x="0"/>
        <item x="4"/>
        <item x="8"/>
        <item x="10"/>
        <item x="3"/>
        <item x="7"/>
        <item x="11"/>
        <item x="1"/>
        <item x="6"/>
        <item x="9"/>
        <item x="12"/>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15">
    <i>
      <x v="5"/>
    </i>
    <i>
      <x v="9"/>
    </i>
    <i>
      <x v="10"/>
    </i>
    <i>
      <x v="4"/>
    </i>
    <i>
      <x v="1"/>
    </i>
    <i>
      <x v="7"/>
    </i>
    <i>
      <x v="2"/>
    </i>
    <i>
      <x v="8"/>
    </i>
    <i>
      <x v="3"/>
    </i>
    <i>
      <x v="6"/>
    </i>
    <i>
      <x v="11"/>
    </i>
    <i>
      <x v="13"/>
    </i>
    <i>
      <x v="12"/>
    </i>
    <i>
      <x/>
    </i>
    <i t="grand">
      <x/>
    </i>
  </rowItems>
  <colItems count="1">
    <i/>
  </colItems>
  <dataFields count="1">
    <dataField name="Sum of Units Sold" fld="4" baseField="0" baseItem="0"/>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49C7DDC-9D65-467E-BA5C-F6277F10411E}" name="PivotTable61"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J42:K46"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axis="axisRow" showAll="0" measureFilter="1"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v="6"/>
    </i>
    <i>
      <x v="9"/>
    </i>
    <i>
      <x/>
    </i>
    <i t="grand">
      <x/>
    </i>
  </rowItems>
  <colItems count="1">
    <i/>
  </colItems>
  <dataFields count="1">
    <dataField name="Sum of Sales" fld="6" baseField="0" baseItem="0" numFmtId="43"/>
  </dataFields>
  <formats count="1">
    <format dxfId="43">
      <pivotArea outline="0" collapsedLevelsAreSubtotals="1" fieldPosition="0"/>
    </format>
  </formats>
  <pivotTableStyleInfo name="PivotStyleLight16" showRowHeaders="1" showColHeaders="1" showRowStripes="0" showColStripes="0" showLastColumn="1"/>
  <filters count="1">
    <filter fld="7"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6EFF7D4-F32D-4DFC-B67E-C6D3CABD1162}" name="PivotTable67"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15">
  <location ref="B51:C5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axis="axisRow" showAll="0">
      <items count="7">
        <item x="5"/>
        <item x="0"/>
        <item x="1"/>
        <item x="2"/>
        <item x="3"/>
        <item x="4"/>
        <item t="default"/>
      </items>
    </pivotField>
    <pivotField showAll="0"/>
    <pivotField numFmtId="165" showAll="0"/>
    <pivotField dataField="1" numFmtId="165"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7">
    <i>
      <x/>
    </i>
    <i>
      <x v="1"/>
    </i>
    <i>
      <x v="2"/>
    </i>
    <i>
      <x v="3"/>
    </i>
    <i>
      <x v="4"/>
    </i>
    <i>
      <x v="5"/>
    </i>
    <i t="grand">
      <x/>
    </i>
  </rowItems>
  <colItems count="1">
    <i/>
  </colItems>
  <dataFields count="1">
    <dataField name="Sum of Sales" fld="6" baseField="0" baseItem="0" numFmtId="167"/>
  </dataFields>
  <formats count="1">
    <format dxfId="44">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33058F9-2658-4BD4-BEE7-2E1C4D3DA77C}" name="PivotTable47"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B3:B4" firstHeaderRow="1" firstDataRow="1" firstDataCol="0"/>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numFmtId="165" showAll="0"/>
    <pivotField numFmtId="165"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Total Sales" fld="9" baseField="0" baseItem="0" numFmtId="167"/>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4FFC082-2011-4A03-863B-DC8BBC04F323}" name="PivotTable54"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6">
  <location ref="B25:C30"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5">
    <i>
      <x/>
    </i>
    <i>
      <x v="2"/>
    </i>
    <i>
      <x v="3"/>
    </i>
    <i>
      <x v="1"/>
    </i>
    <i t="grand">
      <x/>
    </i>
  </rowItems>
  <colItems count="1">
    <i/>
  </colItems>
  <dataFields count="1">
    <dataField name="Sum of Sales" fld="6" baseField="0" baseItem="0" numFmtId="167"/>
  </dataFields>
  <formats count="1">
    <format dxfId="46">
      <pivotArea outline="0" collapsedLevelsAreSubtotals="1"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7AD2254-4815-493A-8CE0-3B98AD02E555}" name="PivotTable116"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C94:D102"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5"/>
  </rowFields>
  <rowItems count="8">
    <i>
      <x v="1"/>
    </i>
    <i>
      <x v="2"/>
    </i>
    <i>
      <x v="3"/>
    </i>
    <i>
      <x v="4"/>
    </i>
    <i>
      <x v="5"/>
    </i>
    <i>
      <x v="6"/>
    </i>
    <i>
      <x v="8"/>
    </i>
    <i t="grand">
      <x/>
    </i>
  </rowItems>
  <colItems count="1">
    <i/>
  </colItems>
  <dataFields count="1">
    <dataField name="Sum of Sales" fld="6" baseField="0" baseItem="0" numFmtId="43"/>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910D678-959E-448A-BE16-D264A20400DC}" name="PivotTable3"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I94:J102" firstHeaderRow="1" firstDataRow="1" firstDataCol="1"/>
  <pivotFields count="17">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items count="15">
        <item x="0"/>
        <item sd="0" x="1"/>
        <item sd="0" x="2"/>
        <item sd="0" x="3"/>
        <item sd="0" x="4"/>
        <item sd="0" x="5"/>
        <item sd="0" x="6"/>
        <item x="7"/>
        <item sd="0" x="8"/>
        <item x="9"/>
        <item x="10"/>
        <item x="11"/>
        <item x="12"/>
        <item x="13"/>
        <item t="default"/>
      </items>
    </pivotField>
    <pivotField showAll="0">
      <items count="7">
        <item x="0"/>
        <item sd="0" x="1"/>
        <item sd="0" x="2"/>
        <item sd="0" x="3"/>
        <item x="4"/>
        <item x="5"/>
        <item t="default"/>
      </items>
    </pivotField>
  </pivotFields>
  <rowFields count="2">
    <field x="15"/>
    <field x="0"/>
  </rowFields>
  <rowItems count="8">
    <i>
      <x v="1"/>
    </i>
    <i>
      <x v="2"/>
    </i>
    <i>
      <x v="3"/>
    </i>
    <i>
      <x v="4"/>
    </i>
    <i>
      <x v="5"/>
    </i>
    <i>
      <x v="6"/>
    </i>
    <i>
      <x v="8"/>
    </i>
    <i t="grand">
      <x/>
    </i>
  </rowItems>
  <colItems count="1">
    <i/>
  </colItems>
  <dataFields count="1">
    <dataField name="Sum of Sales" fld="6" baseField="0" baseItem="0" numFmtId="43"/>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A497AF8-04C6-41B0-A0B8-F280915C672D}" name="PivotTable71"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P51:Q5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9">
        <item sd="0" x="4"/>
        <item sd="0" x="0"/>
        <item sd="0" x="3"/>
        <item sd="0" x="2"/>
        <item sd="0" x="6"/>
        <item sd="0" x="5"/>
        <item sd="0" x="1"/>
        <item sd="0" x="7"/>
        <item t="default"/>
      </items>
    </pivotField>
    <pivotField axis="axisRow" showAll="0" sortType="descending">
      <items count="7">
        <item sd="0" x="5"/>
        <item sd="0" x="0"/>
        <item sd="0" x="1"/>
        <item sd="0" x="2"/>
        <item sd="0" x="3"/>
        <item sd="0" x="4"/>
        <item t="default"/>
      </items>
      <autoSortScope>
        <pivotArea dataOnly="0" outline="0" fieldPosition="0">
          <references count="1">
            <reference field="4294967294" count="1" selected="0">
              <x v="0"/>
            </reference>
          </references>
        </pivotArea>
      </autoSortScope>
    </pivotField>
    <pivotField showAll="0"/>
    <pivotField numFmtId="165" showAll="0"/>
    <pivotField dataField="1"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3"/>
    <field x="2"/>
  </rowFields>
  <rowItems count="7">
    <i>
      <x v="2"/>
    </i>
    <i>
      <x v="3"/>
    </i>
    <i>
      <x v="1"/>
    </i>
    <i>
      <x v="5"/>
    </i>
    <i>
      <x v="4"/>
    </i>
    <i>
      <x/>
    </i>
    <i t="grand">
      <x/>
    </i>
  </rowItems>
  <colItems count="1">
    <i/>
  </colItems>
  <dataFields count="1">
    <dataField name="Sum of Sales" fld="6" baseField="0" baseItem="0"/>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BF2DE92-1439-4583-AB86-1B9496497EF5}" name="PivotTable64"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chartFormat="6">
  <location ref="F25:G30"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1"/>
        <item x="2"/>
        <item x="0"/>
        <item x="3"/>
        <item t="default"/>
      </items>
    </pivotField>
    <pivotField showAll="0"/>
    <pivotField showAll="0"/>
    <pivotField dataField="1" showAll="0"/>
    <pivotField numFmtId="165" showAll="0"/>
    <pivotField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5">
    <i>
      <x/>
    </i>
    <i>
      <x v="1"/>
    </i>
    <i>
      <x v="2"/>
    </i>
    <i>
      <x v="3"/>
    </i>
    <i t="grand">
      <x/>
    </i>
  </rowItems>
  <colItems count="1">
    <i/>
  </colItems>
  <dataFields count="1">
    <dataField name="Sum of Units Sold" fld="4" baseField="0" baseItem="0" numFmtId="166"/>
  </dataFields>
  <formats count="1">
    <format dxfId="50">
      <pivotArea outline="0" collapsedLevelsAreSubtotals="1" fieldPosition="0"/>
    </format>
  </formats>
  <chartFormats count="5">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0"/>
          </reference>
        </references>
      </pivotArea>
    </chartFormat>
    <chartFormat chart="5" format="5">
      <pivotArea type="data" outline="0" fieldPosition="0">
        <references count="2">
          <reference field="4294967294" count="1" selected="0">
            <x v="0"/>
          </reference>
          <reference field="1" count="1" selected="0">
            <x v="1"/>
          </reference>
        </references>
      </pivotArea>
    </chartFormat>
    <chartFormat chart="5" format="6">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95F05AE-3AD0-4C86-9647-22B1694F7840}" name="PivotTable50"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J3:K20"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9">
        <item x="4"/>
        <item x="0"/>
        <item x="3"/>
        <item x="2"/>
        <item x="6"/>
        <item x="5"/>
        <item x="1"/>
        <item x="7"/>
        <item t="default"/>
      </items>
    </pivotField>
    <pivotField axis="axisRow" showAll="0">
      <items count="7">
        <item x="5"/>
        <item x="0"/>
        <item x="1"/>
        <item x="2"/>
        <item x="3"/>
        <item x="4"/>
        <item t="default"/>
      </items>
    </pivotField>
    <pivotField showAll="0"/>
    <pivotField numFmtId="165" showAll="0"/>
    <pivotField dataField="1" numFmtId="165"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2"/>
    <field x="3"/>
  </rowFields>
  <rowItems count="17">
    <i>
      <x/>
    </i>
    <i r="1">
      <x v="5"/>
    </i>
    <i>
      <x v="1"/>
    </i>
    <i r="1">
      <x v="1"/>
    </i>
    <i>
      <x v="2"/>
    </i>
    <i r="1">
      <x v="4"/>
    </i>
    <i>
      <x v="3"/>
    </i>
    <i r="1">
      <x v="3"/>
    </i>
    <i>
      <x v="4"/>
    </i>
    <i r="1">
      <x/>
    </i>
    <i>
      <x v="5"/>
    </i>
    <i r="1">
      <x v="3"/>
    </i>
    <i>
      <x v="6"/>
    </i>
    <i r="1">
      <x v="2"/>
    </i>
    <i>
      <x v="7"/>
    </i>
    <i r="1">
      <x v="4"/>
    </i>
    <i t="grand">
      <x/>
    </i>
  </rowItems>
  <colItems count="1">
    <i/>
  </colItems>
  <dataFields count="1">
    <dataField name="Sum of Sales" fld="6" baseField="0" baseItem="0" numFmtId="43"/>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EE25DA70-BEAF-48FE-8099-A3B434B2F6B6}" name="PivotTable1"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F94:G102" firstHeaderRow="1" firstDataRow="1" firstDataCol="1"/>
  <pivotFields count="17">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numFmtId="165" showAll="0"/>
    <pivotField dataField="1" numFmtId="165"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axis="axisRow" showAll="0">
      <items count="15">
        <item x="0"/>
        <item sd="0" x="1"/>
        <item sd="0" x="2"/>
        <item sd="0" x="3"/>
        <item sd="0" x="4"/>
        <item sd="0" x="5"/>
        <item sd="0" x="6"/>
        <item x="7"/>
        <item sd="0" x="8"/>
        <item x="9"/>
        <item x="10"/>
        <item x="11"/>
        <item x="12"/>
        <item x="13"/>
        <item t="default"/>
      </items>
    </pivotField>
    <pivotField showAll="0">
      <items count="7">
        <item x="0"/>
        <item sd="0" x="1"/>
        <item sd="0" x="2"/>
        <item sd="0" x="3"/>
        <item x="4"/>
        <item x="5"/>
        <item t="default"/>
      </items>
    </pivotField>
  </pivotFields>
  <rowFields count="2">
    <field x="15"/>
    <field x="0"/>
  </rowFields>
  <rowItems count="8">
    <i>
      <x v="1"/>
    </i>
    <i>
      <x v="2"/>
    </i>
    <i>
      <x v="3"/>
    </i>
    <i>
      <x v="4"/>
    </i>
    <i>
      <x v="5"/>
    </i>
    <i>
      <x v="6"/>
    </i>
    <i>
      <x v="8"/>
    </i>
    <i t="grand">
      <x/>
    </i>
  </rowItems>
  <colItems count="1">
    <i/>
  </colItems>
  <dataFields count="1">
    <dataField name="Sum of Sales" fld="6" baseField="0" baseItem="0" numFmtId="43"/>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2C1D87AD-2932-4010-A776-C04AFD805433}" name="PivotTable82" cacheId="8" applyNumberFormats="0" applyBorderFormats="0" applyFontFormats="0" applyPatternFormats="0" applyAlignmentFormats="0" applyWidthHeightFormats="1" dataCaption="Values" updatedVersion="6" minRefreshableVersion="3" useAutoFormatting="1" itemPrintTitles="1" createdVersion="7" indent="0" outline="1" outlineData="1" multipleFieldFilters="0">
  <location ref="K82:L88" firstHeaderRow="1" firstDataRow="1" firstDataCol="1"/>
  <pivotFields count="17">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numFmtId="165" showAll="0"/>
    <pivotField numFmtId="165" showAll="0"/>
    <pivotField showAll="0"/>
    <pivotField axis="axisRow" showAll="0" measureFilter="1" sortType="descending">
      <items count="15">
        <item x="13"/>
        <item x="5"/>
        <item x="0"/>
        <item x="4"/>
        <item x="8"/>
        <item x="10"/>
        <item x="3"/>
        <item x="7"/>
        <item x="11"/>
        <item x="1"/>
        <item x="6"/>
        <item x="9"/>
        <item x="12"/>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8"/>
  </rowFields>
  <rowItems count="6">
    <i>
      <x v="6"/>
    </i>
    <i>
      <x v="11"/>
    </i>
    <i>
      <x v="13"/>
    </i>
    <i>
      <x v="12"/>
    </i>
    <i>
      <x/>
    </i>
    <i t="grand">
      <x/>
    </i>
  </rowItems>
  <colItems count="1">
    <i/>
  </colItems>
  <dataFields count="1">
    <dataField name="Sum of Units Sold" fld="4" baseField="0" baseItem="0"/>
  </dataFields>
  <formats count="1">
    <format dxfId="53">
      <pivotArea outline="0" collapsedLevelsAreSubtotals="1" fieldPosition="0"/>
    </format>
  </formats>
  <pivotTableStyleInfo name="PivotStyleLight16" showRowHeaders="1" showColHeaders="1" showRowStripes="0" showColStripes="0" showLastColumn="1"/>
  <filters count="1">
    <filter fld="8" type="count" evalOrder="-1" id="8"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E95FB9-7E2D-4BBA-A9FC-B8464269F9C3}" sourceName="Region">
  <pivotTables>
    <pivotTable tabId="20" name="PivotTable54"/>
    <pivotTable tabId="20" name="PivotTable64"/>
  </pivotTables>
  <data>
    <tabular pivotCacheId="682484394">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18D4BB-40EC-4B96-944D-F8776A5B30DF}" sourceName="Category">
  <pivotTables>
    <pivotTable tabId="20" name="PivotTable67"/>
    <pivotTable tabId="20" name="PivotTable70"/>
  </pivotTables>
  <data>
    <tabular pivotCacheId="682484394">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4B1CD3C-B855-4682-883D-93BF52B5C9D8}" cache="Slicer_Region" caption="Region" rowHeight="241300"/>
  <slicer name="Category" xr10:uid="{F78806C8-BF77-4B96-BECC-5C84CD91F989}"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66F97E-91BA-4459-819C-98C1564650F3}" name="SalesData" displayName="SalesData" ref="A1:O101" totalsRowShown="0" headerRowDxfId="70" headerRowBorderDxfId="69" tableBorderDxfId="68" totalsRowBorderDxfId="67">
  <autoFilter ref="A1:O101" xr:uid="{D2AA5DD6-F83D-44D9-9121-D952BCF74C8E}"/>
  <tableColumns count="15">
    <tableColumn id="1" xr3:uid="{D0ECB6A3-0F38-4E73-9222-843841F65F59}" name="Date" dataDxfId="66"/>
    <tableColumn id="2" xr3:uid="{82E434EB-000C-483E-B49C-21D8A6D85C1F}" name="Region" dataDxfId="65"/>
    <tableColumn id="3" xr3:uid="{C35B449C-0ABF-4546-A63E-99EAD04A8062}" name="Product" dataDxfId="64"/>
    <tableColumn id="4" xr3:uid="{8C4F8B90-0BBC-431C-BE98-D9009C596D70}" name="Category" dataDxfId="63"/>
    <tableColumn id="5" xr3:uid="{06B4AF67-C6B9-4261-AF34-7AC1BE775DB6}" name="Units Sold" dataDxfId="62"/>
    <tableColumn id="6" xr3:uid="{D7415D1D-9DB1-4E42-B7B1-51D714B99460}" name="Unit Price" dataDxfId="61" dataCellStyle="Comma"/>
    <tableColumn id="7" xr3:uid="{EE724022-22B3-4E09-A01A-4E274FC097C2}" name="Sales" dataDxfId="60">
      <calculatedColumnFormula>E2*F2</calculatedColumnFormula>
    </tableColumn>
    <tableColumn id="8" xr3:uid="{08FC183C-F35D-4617-882E-55082DC3E1C0}" name="Sales Rep" dataDxfId="59"/>
    <tableColumn id="9" xr3:uid="{44B8038D-331E-46E4-8695-870D5DE09158}" name="Customer" dataDxfId="58"/>
    <tableColumn id="10" xr3:uid="{7702C793-5D78-4B0A-89BC-038C34BBD01E}" name="Total Sales"/>
    <tableColumn id="11" xr3:uid="{B7D9E6F6-65D8-43A1-AB2E-7363F3B8E30A}" name="Total no of Sales Rep"/>
    <tableColumn id="12" xr3:uid="{31BF0619-C648-417B-A93B-83D7E5FE56E7}" name="Total no of Customers" dataDxfId="57">
      <calculatedColumnFormula array="1">SUM(1/COUNTIF(SalesData[Customer],SalesData[Customer]))</calculatedColumnFormula>
    </tableColumn>
    <tableColumn id="13" xr3:uid="{E18BACD3-8A7D-4BD1-8F96-C56D9711F720}" name="Total no of Units Sold" dataDxfId="56">
      <calculatedColumnFormula>SUM(SalesData[Units Sold])</calculatedColumnFormula>
    </tableColumn>
    <tableColumn id="14" xr3:uid="{BF4E5848-42DD-48C7-8167-C7B1453D5311}" name="Total no of Categories" dataDxfId="55">
      <calculatedColumnFormula array="1">SUM(1/COUNTIF(SalesData[Category],SalesData[Category]))</calculatedColumnFormula>
    </tableColumn>
    <tableColumn id="15" xr3:uid="{24DDF43D-1A6F-4DB3-8958-6C47FA3CD69A}" name="Total no of Products" dataDxfId="54">
      <calculatedColumnFormula array="1">SUM(1/COUNTIF(SalesData[Product],SalesData[Product]))</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F8F679-FFE6-4B88-B003-473FDB193698}" name="Table1" displayName="Table1" ref="A1:O8" totalsRowShown="0">
  <autoFilter ref="A1:O8" xr:uid="{53B9DB3D-A003-4FF4-B783-93A4B76BA22D}"/>
  <tableColumns count="15">
    <tableColumn id="1" xr3:uid="{412367B3-B40C-4255-869E-11789593F5F0}" name="Date" dataDxfId="20"/>
    <tableColumn id="2" xr3:uid="{3B1C5D0E-96AD-41B5-8E4D-91D0B05CF96B}" name="Region"/>
    <tableColumn id="3" xr3:uid="{629FB196-1905-4EA0-BDA5-E6C20EC2CA17}" name="Product"/>
    <tableColumn id="4" xr3:uid="{66343AB4-21C8-4D58-9E62-C1AAE7850605}" name="Category"/>
    <tableColumn id="5" xr3:uid="{A69811D2-C5DB-41A7-BD4B-4969C0052029}" name="Units Sold"/>
    <tableColumn id="6" xr3:uid="{2D7119FA-8485-474E-B75C-5BCA2EFB56D2}" name="Unit Price"/>
    <tableColumn id="7" xr3:uid="{A9C29D26-99AA-4AD8-9C41-F5076650AFBC}" name="Sales"/>
    <tableColumn id="8" xr3:uid="{31C58351-3BF3-4453-8699-DBBD07796E7B}" name="Sales Rep"/>
    <tableColumn id="9" xr3:uid="{C610CDFF-A617-462F-8A12-896146EEFC2B}" name="Customer"/>
    <tableColumn id="10" xr3:uid="{B3491B36-7473-46ED-ACD6-430AAFFC8900}" name="Total Sales"/>
    <tableColumn id="11" xr3:uid="{46A7DEA9-59B8-4F2E-AB19-F3A5DCC523B2}" name="Total no of Sales Rep"/>
    <tableColumn id="12" xr3:uid="{FC032779-71F5-44F1-AE75-54D345F863FF}" name="Total no of Customers"/>
    <tableColumn id="13" xr3:uid="{8241ED59-6E76-47A6-9CA0-E470FBC3201A}" name="Total no of Units Sold"/>
    <tableColumn id="14" xr3:uid="{00900A33-39E7-432C-B0F6-1AD59CC429DE}" name="Total no of Categories"/>
    <tableColumn id="15" xr3:uid="{8FD367A9-8F3E-42E9-AD59-AB840179F61A}" name="Total no of Product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printerSettings" Target="../printerSettings/printerSettings2.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8"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1AE3-4DFA-46B3-8FA3-6F0C05532777}">
  <dimension ref="A1:O27"/>
  <sheetViews>
    <sheetView workbookViewId="0"/>
  </sheetViews>
  <sheetFormatPr defaultColWidth="0" defaultRowHeight="15" zeroHeight="1" x14ac:dyDescent="0.25"/>
  <cols>
    <col min="1" max="1" width="3.42578125" style="4" customWidth="1"/>
    <col min="2" max="15" width="8.7109375" style="4" customWidth="1"/>
    <col min="16" max="16384" width="8.7109375" style="4" hidden="1"/>
  </cols>
  <sheetData>
    <row r="1" spans="2:14" x14ac:dyDescent="0.25"/>
    <row r="2" spans="2:14" ht="34.5" thickBot="1" x14ac:dyDescent="0.55000000000000004">
      <c r="B2" s="5" t="s">
        <v>407</v>
      </c>
      <c r="C2" s="6"/>
      <c r="D2" s="6"/>
      <c r="E2" s="6"/>
      <c r="F2" s="6"/>
      <c r="G2" s="6"/>
      <c r="H2" s="6"/>
      <c r="I2" s="6"/>
      <c r="J2" s="6"/>
      <c r="K2" s="6"/>
      <c r="L2" s="6"/>
      <c r="M2" s="6"/>
      <c r="N2" s="6"/>
    </row>
    <row r="3" spans="2:14" x14ac:dyDescent="0.25"/>
    <row r="4" spans="2:14" x14ac:dyDescent="0.25"/>
    <row r="5" spans="2:14" x14ac:dyDescent="0.25"/>
    <row r="6" spans="2:14" x14ac:dyDescent="0.25"/>
    <row r="7" spans="2:14" x14ac:dyDescent="0.25"/>
    <row r="8" spans="2:14" x14ac:dyDescent="0.25"/>
    <row r="9" spans="2:14" x14ac:dyDescent="0.25"/>
    <row r="10" spans="2:14" x14ac:dyDescent="0.25"/>
    <row r="11" spans="2:14" x14ac:dyDescent="0.25"/>
    <row r="12" spans="2:14" x14ac:dyDescent="0.25"/>
    <row r="13" spans="2:14" x14ac:dyDescent="0.25"/>
    <row r="14" spans="2:14" x14ac:dyDescent="0.25"/>
    <row r="15" spans="2:14"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B1" workbookViewId="0">
      <pane ySplit="1" topLeftCell="A74" activePane="bottomLeft" state="frozen"/>
      <selection pane="bottomLeft" activeCell="I87" sqref="I87"/>
    </sheetView>
  </sheetViews>
  <sheetFormatPr defaultRowHeight="15" x14ac:dyDescent="0.25"/>
  <cols>
    <col min="1" max="9" width="18.85546875" customWidth="1"/>
  </cols>
  <sheetData>
    <row r="1" spans="1:8" x14ac:dyDescent="0.25">
      <c r="A1" s="2" t="s">
        <v>0</v>
      </c>
      <c r="B1" s="2" t="s">
        <v>1</v>
      </c>
      <c r="C1" s="2" t="s">
        <v>2</v>
      </c>
      <c r="D1" s="2" t="s">
        <v>3</v>
      </c>
      <c r="E1" s="2" t="s">
        <v>4</v>
      </c>
      <c r="F1" s="2" t="s">
        <v>5</v>
      </c>
      <c r="G1" s="2" t="s">
        <v>6</v>
      </c>
      <c r="H1" s="2" t="s">
        <v>7</v>
      </c>
    </row>
    <row r="2" spans="1:8" x14ac:dyDescent="0.25">
      <c r="A2" s="3">
        <v>45821</v>
      </c>
      <c r="B2" s="1" t="s">
        <v>8</v>
      </c>
      <c r="C2" s="1" t="s">
        <v>9</v>
      </c>
      <c r="D2" s="1" t="s">
        <v>10</v>
      </c>
      <c r="E2" s="1">
        <v>8</v>
      </c>
      <c r="F2" s="1">
        <v>2500000</v>
      </c>
      <c r="G2" s="1" t="s">
        <v>11</v>
      </c>
      <c r="H2" s="1" t="s">
        <v>12</v>
      </c>
    </row>
    <row r="3" spans="1:8" x14ac:dyDescent="0.25">
      <c r="A3" s="3">
        <v>45755</v>
      </c>
      <c r="B3" s="1" t="s">
        <v>87</v>
      </c>
      <c r="C3" s="1" t="s">
        <v>13</v>
      </c>
      <c r="D3" s="1" t="s">
        <v>14</v>
      </c>
      <c r="E3" s="1">
        <v>6</v>
      </c>
      <c r="F3" s="1">
        <v>350000</v>
      </c>
      <c r="G3" s="1" t="s">
        <v>15</v>
      </c>
      <c r="H3" s="1" t="s">
        <v>16</v>
      </c>
    </row>
    <row r="4" spans="1:8" x14ac:dyDescent="0.25">
      <c r="A4" s="3">
        <v>45686</v>
      </c>
      <c r="B4" s="1" t="s">
        <v>62</v>
      </c>
      <c r="C4" s="1" t="s">
        <v>17</v>
      </c>
      <c r="D4" s="1" t="s">
        <v>18</v>
      </c>
      <c r="E4" s="1">
        <v>14</v>
      </c>
      <c r="F4" s="1">
        <v>180000</v>
      </c>
      <c r="G4" s="1" t="s">
        <v>19</v>
      </c>
      <c r="H4" s="1" t="s">
        <v>20</v>
      </c>
    </row>
    <row r="5" spans="1:8" x14ac:dyDescent="0.25">
      <c r="A5" s="1" t="s">
        <v>21</v>
      </c>
      <c r="B5" s="1" t="s">
        <v>8</v>
      </c>
      <c r="C5" s="1" t="s">
        <v>22</v>
      </c>
      <c r="D5" s="1" t="s">
        <v>23</v>
      </c>
      <c r="E5" s="1">
        <v>18</v>
      </c>
      <c r="F5" s="1">
        <v>65000</v>
      </c>
      <c r="G5" s="1" t="s">
        <v>24</v>
      </c>
      <c r="H5" s="1" t="s">
        <v>25</v>
      </c>
    </row>
    <row r="6" spans="1:8" x14ac:dyDescent="0.25">
      <c r="A6" s="1" t="s">
        <v>26</v>
      </c>
      <c r="B6" s="1" t="s">
        <v>51</v>
      </c>
      <c r="C6" s="1" t="s">
        <v>27</v>
      </c>
      <c r="D6" s="1" t="s">
        <v>28</v>
      </c>
      <c r="E6" s="1">
        <v>5</v>
      </c>
      <c r="F6" s="1">
        <v>180000</v>
      </c>
      <c r="G6" s="1" t="s">
        <v>29</v>
      </c>
      <c r="H6" s="1" t="s">
        <v>30</v>
      </c>
    </row>
    <row r="7" spans="1:8" x14ac:dyDescent="0.25">
      <c r="A7" s="1" t="s">
        <v>31</v>
      </c>
      <c r="B7" s="1" t="s">
        <v>87</v>
      </c>
      <c r="C7" s="1" t="s">
        <v>27</v>
      </c>
      <c r="D7" s="1" t="s">
        <v>32</v>
      </c>
      <c r="E7" s="1">
        <v>19</v>
      </c>
      <c r="F7" s="1">
        <v>157427</v>
      </c>
      <c r="G7" s="1" t="s">
        <v>33</v>
      </c>
      <c r="H7" s="1" t="s">
        <v>34</v>
      </c>
    </row>
    <row r="8" spans="1:8" x14ac:dyDescent="0.25">
      <c r="A8" s="1" t="s">
        <v>35</v>
      </c>
      <c r="B8" s="1" t="s">
        <v>51</v>
      </c>
      <c r="C8" s="1" t="s">
        <v>36</v>
      </c>
      <c r="D8" s="1" t="s">
        <v>37</v>
      </c>
      <c r="E8" s="1">
        <v>3</v>
      </c>
      <c r="F8" s="1">
        <v>350000</v>
      </c>
      <c r="G8" s="1" t="s">
        <v>38</v>
      </c>
      <c r="H8" s="1" t="s">
        <v>39</v>
      </c>
    </row>
    <row r="9" spans="1:8" x14ac:dyDescent="0.25">
      <c r="A9" s="1" t="s">
        <v>40</v>
      </c>
      <c r="B9" s="1" t="s">
        <v>51</v>
      </c>
      <c r="C9" s="1" t="s">
        <v>41</v>
      </c>
      <c r="D9" s="1" t="s">
        <v>42</v>
      </c>
      <c r="E9" s="1">
        <v>2</v>
      </c>
      <c r="F9" s="1">
        <v>65000</v>
      </c>
      <c r="G9" s="1" t="s">
        <v>43</v>
      </c>
      <c r="H9" s="1" t="s">
        <v>44</v>
      </c>
    </row>
    <row r="10" spans="1:8" x14ac:dyDescent="0.25">
      <c r="A10" s="1" t="s">
        <v>45</v>
      </c>
      <c r="B10" s="1" t="s">
        <v>87</v>
      </c>
      <c r="C10" s="1" t="s">
        <v>46</v>
      </c>
      <c r="D10" s="1" t="s">
        <v>47</v>
      </c>
      <c r="E10" s="1">
        <v>14</v>
      </c>
      <c r="F10" s="1">
        <v>175000</v>
      </c>
      <c r="G10" s="1" t="s">
        <v>48</v>
      </c>
      <c r="H10" s="1" t="s">
        <v>49</v>
      </c>
    </row>
    <row r="11" spans="1:8" x14ac:dyDescent="0.25">
      <c r="A11" s="1" t="s">
        <v>50</v>
      </c>
      <c r="B11" s="1" t="s">
        <v>51</v>
      </c>
      <c r="C11" s="1" t="s">
        <v>52</v>
      </c>
      <c r="D11" s="1" t="s">
        <v>53</v>
      </c>
      <c r="E11" s="1">
        <v>4</v>
      </c>
      <c r="F11" s="1">
        <v>150000</v>
      </c>
      <c r="G11" s="1" t="s">
        <v>54</v>
      </c>
      <c r="H11" s="1" t="s">
        <v>55</v>
      </c>
    </row>
    <row r="12" spans="1:8" x14ac:dyDescent="0.25">
      <c r="A12" s="1" t="s">
        <v>56</v>
      </c>
      <c r="B12" s="1" t="s">
        <v>8</v>
      </c>
      <c r="C12" s="1" t="s">
        <v>57</v>
      </c>
      <c r="D12" s="1" t="s">
        <v>58</v>
      </c>
      <c r="E12" s="1">
        <v>20</v>
      </c>
      <c r="F12" s="1">
        <v>150000</v>
      </c>
      <c r="G12" s="1" t="s">
        <v>59</v>
      </c>
      <c r="H12" s="1" t="s">
        <v>60</v>
      </c>
    </row>
    <row r="13" spans="1:8" x14ac:dyDescent="0.25">
      <c r="A13" s="1" t="s">
        <v>61</v>
      </c>
      <c r="B13" s="1" t="s">
        <v>62</v>
      </c>
      <c r="C13" s="1" t="s">
        <v>63</v>
      </c>
      <c r="D13" s="1" t="s">
        <v>64</v>
      </c>
      <c r="E13" s="1">
        <v>6</v>
      </c>
      <c r="F13" s="1">
        <v>85000</v>
      </c>
      <c r="G13" s="1" t="s">
        <v>65</v>
      </c>
      <c r="H13" s="1" t="s">
        <v>66</v>
      </c>
    </row>
    <row r="14" spans="1:8" x14ac:dyDescent="0.25">
      <c r="A14" s="1" t="s">
        <v>67</v>
      </c>
      <c r="B14" s="1" t="s">
        <v>51</v>
      </c>
      <c r="C14" s="1" t="s">
        <v>68</v>
      </c>
      <c r="D14" s="1" t="s">
        <v>69</v>
      </c>
      <c r="E14" s="1">
        <v>1</v>
      </c>
      <c r="F14" s="1">
        <v>150000</v>
      </c>
      <c r="G14" s="1" t="s">
        <v>70</v>
      </c>
      <c r="H14" s="1" t="s">
        <v>71</v>
      </c>
    </row>
    <row r="15" spans="1:8" x14ac:dyDescent="0.25">
      <c r="A15" s="1" t="s">
        <v>72</v>
      </c>
      <c r="B15" s="1" t="s">
        <v>87</v>
      </c>
      <c r="C15" s="1" t="s">
        <v>73</v>
      </c>
      <c r="D15" s="1" t="s">
        <v>14</v>
      </c>
      <c r="E15" s="1">
        <v>18</v>
      </c>
      <c r="F15" s="1">
        <v>35000</v>
      </c>
      <c r="G15" s="1" t="s">
        <v>74</v>
      </c>
      <c r="H15" s="1" t="s">
        <v>75</v>
      </c>
    </row>
    <row r="16" spans="1:8" x14ac:dyDescent="0.25">
      <c r="A16" s="1" t="s">
        <v>76</v>
      </c>
      <c r="B16" s="1" t="s">
        <v>8</v>
      </c>
      <c r="C16" s="1" t="s">
        <v>77</v>
      </c>
      <c r="D16" s="1" t="s">
        <v>78</v>
      </c>
      <c r="E16" s="1">
        <v>2</v>
      </c>
      <c r="F16" s="1">
        <v>85000</v>
      </c>
      <c r="G16" s="1" t="s">
        <v>79</v>
      </c>
      <c r="H16" s="1" t="s">
        <v>80</v>
      </c>
    </row>
    <row r="17" spans="1:8" x14ac:dyDescent="0.25">
      <c r="A17" s="1" t="s">
        <v>81</v>
      </c>
      <c r="B17" s="1" t="s">
        <v>87</v>
      </c>
      <c r="C17" s="1" t="s">
        <v>82</v>
      </c>
      <c r="D17" s="1" t="s">
        <v>83</v>
      </c>
      <c r="E17" s="1">
        <v>11</v>
      </c>
      <c r="F17" s="1">
        <v>62035</v>
      </c>
      <c r="G17" s="1" t="s">
        <v>84</v>
      </c>
      <c r="H17" s="1" t="s">
        <v>85</v>
      </c>
    </row>
    <row r="18" spans="1:8" x14ac:dyDescent="0.25">
      <c r="A18" s="1" t="s">
        <v>86</v>
      </c>
      <c r="B18" s="1" t="s">
        <v>87</v>
      </c>
      <c r="C18" s="1" t="s">
        <v>88</v>
      </c>
      <c r="D18" s="1" t="s">
        <v>89</v>
      </c>
      <c r="E18" s="1">
        <v>10</v>
      </c>
      <c r="F18" s="1">
        <v>175000</v>
      </c>
      <c r="G18" s="1" t="s">
        <v>90</v>
      </c>
      <c r="H18" s="1" t="s">
        <v>66</v>
      </c>
    </row>
    <row r="19" spans="1:8" x14ac:dyDescent="0.25">
      <c r="A19" s="1" t="s">
        <v>91</v>
      </c>
      <c r="B19" s="1" t="s">
        <v>51</v>
      </c>
      <c r="C19" s="1" t="s">
        <v>92</v>
      </c>
      <c r="D19" s="1" t="s">
        <v>32</v>
      </c>
      <c r="E19" s="1">
        <v>4</v>
      </c>
      <c r="F19" s="1">
        <v>150000</v>
      </c>
      <c r="G19" s="1" t="s">
        <v>93</v>
      </c>
      <c r="H19" s="1" t="s">
        <v>94</v>
      </c>
    </row>
    <row r="20" spans="1:8" x14ac:dyDescent="0.25">
      <c r="A20" s="1" t="s">
        <v>95</v>
      </c>
      <c r="B20" s="1" t="s">
        <v>51</v>
      </c>
      <c r="C20" s="1" t="s">
        <v>96</v>
      </c>
      <c r="D20" s="1" t="s">
        <v>97</v>
      </c>
      <c r="E20" s="1">
        <v>3</v>
      </c>
      <c r="F20" s="1">
        <v>175000</v>
      </c>
      <c r="G20" s="1" t="s">
        <v>98</v>
      </c>
      <c r="H20" s="1" t="s">
        <v>99</v>
      </c>
    </row>
    <row r="21" spans="1:8" x14ac:dyDescent="0.25">
      <c r="A21" s="1" t="s">
        <v>100</v>
      </c>
      <c r="B21" s="1" t="s">
        <v>62</v>
      </c>
      <c r="C21" s="1" t="s">
        <v>101</v>
      </c>
      <c r="D21" s="1" t="s">
        <v>97</v>
      </c>
      <c r="E21" s="1">
        <v>5</v>
      </c>
      <c r="F21" s="1">
        <v>175000</v>
      </c>
      <c r="G21" s="1" t="s">
        <v>102</v>
      </c>
      <c r="H21" s="1" t="s">
        <v>99</v>
      </c>
    </row>
    <row r="22" spans="1:8" x14ac:dyDescent="0.25">
      <c r="A22" s="1" t="s">
        <v>103</v>
      </c>
      <c r="B22" s="1" t="s">
        <v>87</v>
      </c>
      <c r="C22" s="1" t="s">
        <v>104</v>
      </c>
      <c r="D22" s="1" t="s">
        <v>105</v>
      </c>
      <c r="E22" s="1">
        <v>20</v>
      </c>
      <c r="F22" s="1">
        <v>250000</v>
      </c>
      <c r="G22" s="1" t="s">
        <v>106</v>
      </c>
      <c r="H22" s="1" t="s">
        <v>34</v>
      </c>
    </row>
    <row r="23" spans="1:8" x14ac:dyDescent="0.25">
      <c r="A23" s="1" t="s">
        <v>107</v>
      </c>
      <c r="B23" s="1" t="s">
        <v>87</v>
      </c>
      <c r="C23" s="1" t="s">
        <v>108</v>
      </c>
      <c r="D23" s="1" t="s">
        <v>109</v>
      </c>
      <c r="E23" s="1">
        <v>2</v>
      </c>
      <c r="F23" s="1">
        <v>175000</v>
      </c>
      <c r="G23" s="1" t="s">
        <v>110</v>
      </c>
      <c r="H23" s="1" t="s">
        <v>111</v>
      </c>
    </row>
    <row r="24" spans="1:8" x14ac:dyDescent="0.25">
      <c r="A24" s="1" t="s">
        <v>112</v>
      </c>
      <c r="B24" s="1" t="s">
        <v>87</v>
      </c>
      <c r="C24" s="1" t="s">
        <v>113</v>
      </c>
      <c r="D24" s="1" t="s">
        <v>114</v>
      </c>
      <c r="E24" s="1">
        <v>20</v>
      </c>
      <c r="F24" s="1">
        <v>150000</v>
      </c>
      <c r="G24" s="1" t="s">
        <v>90</v>
      </c>
      <c r="H24" s="1" t="s">
        <v>115</v>
      </c>
    </row>
    <row r="25" spans="1:8" x14ac:dyDescent="0.25">
      <c r="A25" s="1" t="s">
        <v>116</v>
      </c>
      <c r="B25" s="1" t="s">
        <v>62</v>
      </c>
      <c r="C25" s="1" t="s">
        <v>117</v>
      </c>
      <c r="D25" s="1" t="s">
        <v>118</v>
      </c>
      <c r="E25" s="1">
        <v>8</v>
      </c>
      <c r="F25" s="1">
        <v>150000</v>
      </c>
      <c r="G25" s="1" t="s">
        <v>119</v>
      </c>
      <c r="H25" s="1" t="s">
        <v>120</v>
      </c>
    </row>
    <row r="26" spans="1:8" x14ac:dyDescent="0.25">
      <c r="A26" s="1" t="s">
        <v>121</v>
      </c>
      <c r="B26" s="1" t="s">
        <v>51</v>
      </c>
      <c r="C26" s="1" t="s">
        <v>122</v>
      </c>
      <c r="D26" s="1" t="s">
        <v>123</v>
      </c>
      <c r="E26" s="1">
        <v>19</v>
      </c>
      <c r="F26" s="1">
        <v>250000</v>
      </c>
      <c r="G26" s="1" t="s">
        <v>124</v>
      </c>
      <c r="H26" s="1" t="s">
        <v>125</v>
      </c>
    </row>
    <row r="27" spans="1:8" x14ac:dyDescent="0.25">
      <c r="A27" s="1" t="s">
        <v>126</v>
      </c>
      <c r="B27" s="1" t="s">
        <v>87</v>
      </c>
      <c r="C27" s="1" t="s">
        <v>127</v>
      </c>
      <c r="D27" s="1" t="s">
        <v>128</v>
      </c>
      <c r="E27" s="1">
        <v>12</v>
      </c>
      <c r="F27" s="1">
        <v>175000</v>
      </c>
      <c r="G27" s="1" t="s">
        <v>129</v>
      </c>
      <c r="H27" s="1" t="s">
        <v>66</v>
      </c>
    </row>
    <row r="28" spans="1:8" x14ac:dyDescent="0.25">
      <c r="A28" s="1" t="s">
        <v>130</v>
      </c>
      <c r="B28" s="1" t="s">
        <v>62</v>
      </c>
      <c r="C28" s="1" t="s">
        <v>131</v>
      </c>
      <c r="D28" s="1" t="s">
        <v>132</v>
      </c>
      <c r="E28" s="1">
        <v>11</v>
      </c>
      <c r="F28" s="1">
        <v>85000</v>
      </c>
      <c r="G28" s="1" t="s">
        <v>133</v>
      </c>
      <c r="H28" s="1" t="s">
        <v>134</v>
      </c>
    </row>
    <row r="29" spans="1:8" x14ac:dyDescent="0.25">
      <c r="A29" s="1" t="s">
        <v>135</v>
      </c>
      <c r="B29" s="1" t="s">
        <v>62</v>
      </c>
      <c r="C29" s="1" t="s">
        <v>136</v>
      </c>
      <c r="D29" s="1" t="s">
        <v>137</v>
      </c>
      <c r="E29" s="1">
        <v>17</v>
      </c>
      <c r="F29" s="1">
        <v>65000</v>
      </c>
      <c r="G29" s="1" t="s">
        <v>102</v>
      </c>
      <c r="H29" s="1" t="s">
        <v>138</v>
      </c>
    </row>
    <row r="30" spans="1:8" x14ac:dyDescent="0.25">
      <c r="A30" s="1" t="s">
        <v>139</v>
      </c>
      <c r="B30" s="1" t="s">
        <v>8</v>
      </c>
      <c r="C30" s="1" t="s">
        <v>140</v>
      </c>
      <c r="D30" s="1" t="s">
        <v>141</v>
      </c>
      <c r="E30" s="1">
        <v>15</v>
      </c>
      <c r="F30" s="1">
        <v>350000</v>
      </c>
      <c r="G30" s="1" t="s">
        <v>410</v>
      </c>
      <c r="H30" s="1" t="s">
        <v>142</v>
      </c>
    </row>
    <row r="31" spans="1:8" x14ac:dyDescent="0.25">
      <c r="A31" s="1" t="s">
        <v>143</v>
      </c>
      <c r="B31" s="1" t="s">
        <v>51</v>
      </c>
      <c r="C31" s="1" t="s">
        <v>13</v>
      </c>
      <c r="D31" s="1" t="s">
        <v>144</v>
      </c>
      <c r="E31" s="1">
        <v>8</v>
      </c>
      <c r="F31" s="1">
        <v>350000</v>
      </c>
      <c r="G31" s="1" t="s">
        <v>145</v>
      </c>
      <c r="H31" s="1" t="s">
        <v>146</v>
      </c>
    </row>
    <row r="32" spans="1:8" x14ac:dyDescent="0.25">
      <c r="A32" s="1" t="s">
        <v>147</v>
      </c>
      <c r="B32" s="1" t="s">
        <v>51</v>
      </c>
      <c r="C32" s="1" t="s">
        <v>13</v>
      </c>
      <c r="D32" s="1" t="s">
        <v>148</v>
      </c>
      <c r="E32" s="1">
        <v>14</v>
      </c>
      <c r="F32" s="1">
        <v>350000</v>
      </c>
      <c r="G32" s="1" t="s">
        <v>74</v>
      </c>
      <c r="H32" s="1" t="s">
        <v>149</v>
      </c>
    </row>
    <row r="33" spans="1:8" x14ac:dyDescent="0.25">
      <c r="A33" s="1" t="s">
        <v>150</v>
      </c>
      <c r="B33" s="1" t="s">
        <v>87</v>
      </c>
      <c r="C33" s="1" t="s">
        <v>151</v>
      </c>
      <c r="D33" s="1" t="s">
        <v>152</v>
      </c>
      <c r="E33" s="1">
        <v>12</v>
      </c>
      <c r="F33" s="1">
        <v>150000</v>
      </c>
      <c r="G33" s="1" t="s">
        <v>19</v>
      </c>
      <c r="H33" s="1" t="s">
        <v>153</v>
      </c>
    </row>
    <row r="34" spans="1:8" x14ac:dyDescent="0.25">
      <c r="A34" s="1" t="s">
        <v>154</v>
      </c>
      <c r="B34" s="1" t="s">
        <v>62</v>
      </c>
      <c r="C34" s="1" t="s">
        <v>101</v>
      </c>
      <c r="D34" s="1" t="s">
        <v>155</v>
      </c>
      <c r="E34" s="1">
        <v>8</v>
      </c>
      <c r="F34" s="1">
        <v>175000</v>
      </c>
      <c r="G34" s="1" t="s">
        <v>156</v>
      </c>
      <c r="H34" s="1" t="s">
        <v>157</v>
      </c>
    </row>
    <row r="35" spans="1:8" x14ac:dyDescent="0.25">
      <c r="A35" s="1" t="s">
        <v>158</v>
      </c>
      <c r="B35" s="1" t="s">
        <v>8</v>
      </c>
      <c r="C35" s="1" t="s">
        <v>113</v>
      </c>
      <c r="D35" s="1" t="s">
        <v>159</v>
      </c>
      <c r="E35" s="1">
        <v>6</v>
      </c>
      <c r="F35" s="1">
        <v>150000</v>
      </c>
      <c r="G35" s="1" t="s">
        <v>160</v>
      </c>
      <c r="H35" s="1" t="s">
        <v>161</v>
      </c>
    </row>
    <row r="36" spans="1:8" x14ac:dyDescent="0.25">
      <c r="A36" s="1" t="s">
        <v>162</v>
      </c>
      <c r="B36" s="1" t="s">
        <v>51</v>
      </c>
      <c r="C36" s="1" t="s">
        <v>9</v>
      </c>
      <c r="D36" s="1" t="s">
        <v>10</v>
      </c>
      <c r="E36" s="1">
        <v>20</v>
      </c>
      <c r="F36" s="1">
        <v>2500000</v>
      </c>
      <c r="G36" s="1" t="s">
        <v>163</v>
      </c>
      <c r="H36" s="1" t="s">
        <v>164</v>
      </c>
    </row>
    <row r="37" spans="1:8" x14ac:dyDescent="0.25">
      <c r="A37" s="1" t="s">
        <v>165</v>
      </c>
      <c r="B37" s="1" t="s">
        <v>8</v>
      </c>
      <c r="C37" s="1" t="s">
        <v>166</v>
      </c>
      <c r="D37" s="1" t="s">
        <v>167</v>
      </c>
      <c r="E37" s="1">
        <v>12</v>
      </c>
      <c r="F37" s="1">
        <v>65000</v>
      </c>
      <c r="G37" s="1" t="s">
        <v>43</v>
      </c>
      <c r="H37" s="1" t="s">
        <v>168</v>
      </c>
    </row>
    <row r="38" spans="1:8" x14ac:dyDescent="0.25">
      <c r="A38" s="1" t="s">
        <v>169</v>
      </c>
      <c r="B38" s="1" t="s">
        <v>8</v>
      </c>
      <c r="C38" s="1" t="s">
        <v>170</v>
      </c>
      <c r="D38" s="1" t="s">
        <v>171</v>
      </c>
      <c r="E38" s="1">
        <v>4</v>
      </c>
      <c r="F38" s="1">
        <v>73740</v>
      </c>
      <c r="G38" s="1" t="s">
        <v>172</v>
      </c>
      <c r="H38" s="1" t="s">
        <v>173</v>
      </c>
    </row>
    <row r="39" spans="1:8" x14ac:dyDescent="0.25">
      <c r="A39" s="1" t="s">
        <v>174</v>
      </c>
      <c r="B39" s="1" t="s">
        <v>87</v>
      </c>
      <c r="C39" s="1" t="s">
        <v>175</v>
      </c>
      <c r="D39" s="1" t="s">
        <v>176</v>
      </c>
      <c r="E39" s="1">
        <v>18</v>
      </c>
      <c r="F39" s="1">
        <v>175000</v>
      </c>
      <c r="G39" s="1" t="s">
        <v>177</v>
      </c>
      <c r="H39" s="1" t="s">
        <v>80</v>
      </c>
    </row>
    <row r="40" spans="1:8" x14ac:dyDescent="0.25">
      <c r="A40" s="1" t="s">
        <v>178</v>
      </c>
      <c r="B40" s="1" t="s">
        <v>62</v>
      </c>
      <c r="C40" s="1" t="s">
        <v>179</v>
      </c>
      <c r="D40" s="1" t="s">
        <v>180</v>
      </c>
      <c r="E40" s="1">
        <v>10</v>
      </c>
      <c r="F40" s="1">
        <v>180000</v>
      </c>
      <c r="G40" s="1" t="s">
        <v>181</v>
      </c>
      <c r="H40" s="1" t="s">
        <v>182</v>
      </c>
    </row>
    <row r="41" spans="1:8" x14ac:dyDescent="0.25">
      <c r="A41" s="1" t="s">
        <v>183</v>
      </c>
      <c r="B41" s="1" t="s">
        <v>87</v>
      </c>
      <c r="C41" s="1" t="s">
        <v>184</v>
      </c>
      <c r="D41" s="1" t="s">
        <v>137</v>
      </c>
      <c r="E41" s="1">
        <v>10</v>
      </c>
      <c r="F41" s="1">
        <v>65000</v>
      </c>
      <c r="G41" s="1" t="s">
        <v>409</v>
      </c>
      <c r="H41" s="1" t="s">
        <v>185</v>
      </c>
    </row>
    <row r="42" spans="1:8" x14ac:dyDescent="0.25">
      <c r="A42" s="1" t="s">
        <v>61</v>
      </c>
      <c r="B42" s="1" t="s">
        <v>62</v>
      </c>
      <c r="C42" s="1" t="s">
        <v>151</v>
      </c>
      <c r="D42" s="1" t="s">
        <v>18</v>
      </c>
      <c r="E42" s="1">
        <v>3</v>
      </c>
      <c r="F42" s="1">
        <v>150000</v>
      </c>
      <c r="G42" s="1" t="s">
        <v>186</v>
      </c>
      <c r="H42" s="1" t="s">
        <v>187</v>
      </c>
    </row>
    <row r="43" spans="1:8" x14ac:dyDescent="0.25">
      <c r="A43" s="1" t="s">
        <v>188</v>
      </c>
      <c r="B43" s="1" t="s">
        <v>8</v>
      </c>
      <c r="C43" s="1" t="s">
        <v>189</v>
      </c>
      <c r="D43" s="1" t="s">
        <v>18</v>
      </c>
      <c r="E43" s="1">
        <v>8</v>
      </c>
      <c r="F43" s="1">
        <v>180000</v>
      </c>
      <c r="G43" s="1" t="s">
        <v>70</v>
      </c>
      <c r="H43" s="1" t="s">
        <v>66</v>
      </c>
    </row>
    <row r="44" spans="1:8" x14ac:dyDescent="0.25">
      <c r="A44" s="1" t="s">
        <v>190</v>
      </c>
      <c r="B44" s="1" t="s">
        <v>8</v>
      </c>
      <c r="C44" s="1" t="s">
        <v>191</v>
      </c>
      <c r="D44" s="1" t="s">
        <v>123</v>
      </c>
      <c r="E44" s="1">
        <v>3</v>
      </c>
      <c r="F44" s="1">
        <v>250000</v>
      </c>
      <c r="G44" s="1" t="s">
        <v>192</v>
      </c>
      <c r="H44" s="1" t="s">
        <v>193</v>
      </c>
    </row>
    <row r="45" spans="1:8" x14ac:dyDescent="0.25">
      <c r="A45" s="1" t="s">
        <v>194</v>
      </c>
      <c r="B45" s="1" t="s">
        <v>87</v>
      </c>
      <c r="C45" s="1" t="s">
        <v>195</v>
      </c>
      <c r="D45" s="1" t="s">
        <v>196</v>
      </c>
      <c r="E45" s="1">
        <v>18</v>
      </c>
      <c r="F45" s="1">
        <v>85000</v>
      </c>
      <c r="G45" s="1" t="s">
        <v>197</v>
      </c>
      <c r="H45" s="1" t="s">
        <v>157</v>
      </c>
    </row>
    <row r="46" spans="1:8" x14ac:dyDescent="0.25">
      <c r="A46" s="1" t="s">
        <v>198</v>
      </c>
      <c r="B46" s="1" t="s">
        <v>51</v>
      </c>
      <c r="C46" s="1" t="s">
        <v>52</v>
      </c>
      <c r="D46" s="1" t="s">
        <v>32</v>
      </c>
      <c r="E46" s="1">
        <v>9</v>
      </c>
      <c r="F46" s="1">
        <v>150000</v>
      </c>
      <c r="G46" s="1" t="s">
        <v>199</v>
      </c>
      <c r="H46" s="1" t="s">
        <v>200</v>
      </c>
    </row>
    <row r="47" spans="1:8" x14ac:dyDescent="0.25">
      <c r="A47" s="1" t="s">
        <v>201</v>
      </c>
      <c r="B47" s="1" t="s">
        <v>87</v>
      </c>
      <c r="C47" s="1" t="s">
        <v>202</v>
      </c>
      <c r="D47" s="1" t="s">
        <v>203</v>
      </c>
      <c r="E47" s="1">
        <v>18</v>
      </c>
      <c r="F47" s="1">
        <v>150000</v>
      </c>
      <c r="G47" s="1" t="s">
        <v>204</v>
      </c>
      <c r="H47" s="1" t="s">
        <v>205</v>
      </c>
    </row>
    <row r="48" spans="1:8" x14ac:dyDescent="0.25">
      <c r="A48" s="1" t="s">
        <v>206</v>
      </c>
      <c r="B48" s="1" t="s">
        <v>51</v>
      </c>
      <c r="C48" s="1" t="s">
        <v>113</v>
      </c>
      <c r="D48" s="1" t="s">
        <v>58</v>
      </c>
      <c r="E48" s="1">
        <v>11</v>
      </c>
      <c r="F48" s="1">
        <v>150000</v>
      </c>
      <c r="G48" s="1" t="s">
        <v>207</v>
      </c>
      <c r="H48" s="1" t="s">
        <v>208</v>
      </c>
    </row>
    <row r="49" spans="1:8" x14ac:dyDescent="0.25">
      <c r="A49" s="1" t="s">
        <v>209</v>
      </c>
      <c r="B49" s="1" t="s">
        <v>8</v>
      </c>
      <c r="C49" s="1" t="s">
        <v>210</v>
      </c>
      <c r="D49" s="1" t="s">
        <v>144</v>
      </c>
      <c r="E49" s="1">
        <v>4</v>
      </c>
      <c r="F49" s="1">
        <v>350000</v>
      </c>
      <c r="G49" s="1" t="s">
        <v>211</v>
      </c>
      <c r="H49" s="1" t="s">
        <v>212</v>
      </c>
    </row>
    <row r="50" spans="1:8" x14ac:dyDescent="0.25">
      <c r="A50" s="1" t="s">
        <v>213</v>
      </c>
      <c r="B50" s="1" t="s">
        <v>8</v>
      </c>
      <c r="C50" s="1" t="s">
        <v>92</v>
      </c>
      <c r="D50" s="1" t="s">
        <v>214</v>
      </c>
      <c r="E50" s="1">
        <v>19</v>
      </c>
      <c r="F50" s="1">
        <v>150000</v>
      </c>
      <c r="G50" s="1" t="s">
        <v>408</v>
      </c>
      <c r="H50" s="1" t="s">
        <v>215</v>
      </c>
    </row>
    <row r="51" spans="1:8" x14ac:dyDescent="0.25">
      <c r="A51" s="1" t="s">
        <v>216</v>
      </c>
      <c r="B51" s="1" t="s">
        <v>87</v>
      </c>
      <c r="C51" s="1" t="s">
        <v>217</v>
      </c>
      <c r="D51" s="1" t="s">
        <v>218</v>
      </c>
      <c r="E51" s="1">
        <v>7</v>
      </c>
      <c r="F51" s="1">
        <v>85000</v>
      </c>
      <c r="G51" s="1" t="s">
        <v>219</v>
      </c>
      <c r="H51" s="1" t="s">
        <v>220</v>
      </c>
    </row>
    <row r="52" spans="1:8" x14ac:dyDescent="0.25">
      <c r="A52" s="1" t="s">
        <v>221</v>
      </c>
      <c r="B52" s="1" t="s">
        <v>51</v>
      </c>
      <c r="C52" s="1" t="s">
        <v>222</v>
      </c>
      <c r="D52" s="1" t="s">
        <v>223</v>
      </c>
      <c r="E52" s="1">
        <v>13</v>
      </c>
      <c r="F52" s="1">
        <v>57912</v>
      </c>
      <c r="G52" s="1" t="s">
        <v>224</v>
      </c>
      <c r="H52" s="1" t="s">
        <v>225</v>
      </c>
    </row>
    <row r="53" spans="1:8" x14ac:dyDescent="0.25">
      <c r="A53" s="1" t="s">
        <v>226</v>
      </c>
      <c r="B53" s="1" t="s">
        <v>87</v>
      </c>
      <c r="C53" s="1" t="s">
        <v>136</v>
      </c>
      <c r="D53" s="1" t="s">
        <v>227</v>
      </c>
      <c r="E53" s="1">
        <v>18</v>
      </c>
      <c r="F53" s="1">
        <v>650000</v>
      </c>
      <c r="G53" s="1" t="s">
        <v>228</v>
      </c>
      <c r="H53" s="1" t="s">
        <v>229</v>
      </c>
    </row>
    <row r="54" spans="1:8" x14ac:dyDescent="0.25">
      <c r="A54" s="1" t="s">
        <v>230</v>
      </c>
      <c r="B54" s="1" t="s">
        <v>51</v>
      </c>
      <c r="C54" s="1" t="s">
        <v>82</v>
      </c>
      <c r="D54" s="1" t="s">
        <v>167</v>
      </c>
      <c r="E54" s="1">
        <v>5</v>
      </c>
      <c r="F54" s="1">
        <v>65000</v>
      </c>
      <c r="G54" s="1" t="s">
        <v>231</v>
      </c>
      <c r="H54" s="1" t="s">
        <v>232</v>
      </c>
    </row>
    <row r="55" spans="1:8" x14ac:dyDescent="0.25">
      <c r="A55" s="1" t="s">
        <v>233</v>
      </c>
      <c r="B55" s="1" t="s">
        <v>8</v>
      </c>
      <c r="C55" s="1" t="s">
        <v>210</v>
      </c>
      <c r="D55" s="1" t="s">
        <v>37</v>
      </c>
      <c r="E55" s="1">
        <v>13</v>
      </c>
      <c r="F55" s="1">
        <v>350000</v>
      </c>
      <c r="G55" s="1" t="s">
        <v>102</v>
      </c>
      <c r="H55" s="1" t="s">
        <v>234</v>
      </c>
    </row>
    <row r="56" spans="1:8" x14ac:dyDescent="0.25">
      <c r="A56" s="1" t="s">
        <v>235</v>
      </c>
      <c r="B56" s="1" t="s">
        <v>51</v>
      </c>
      <c r="C56" s="1" t="s">
        <v>236</v>
      </c>
      <c r="D56" s="1" t="s">
        <v>144</v>
      </c>
      <c r="E56" s="1">
        <v>19</v>
      </c>
      <c r="F56" s="1">
        <v>350000</v>
      </c>
      <c r="G56" s="1" t="s">
        <v>237</v>
      </c>
      <c r="H56" s="1" t="s">
        <v>238</v>
      </c>
    </row>
    <row r="57" spans="1:8" x14ac:dyDescent="0.25">
      <c r="A57" s="1" t="s">
        <v>239</v>
      </c>
      <c r="B57" s="1" t="s">
        <v>62</v>
      </c>
      <c r="C57" s="1" t="s">
        <v>240</v>
      </c>
      <c r="D57" s="1" t="s">
        <v>28</v>
      </c>
      <c r="E57" s="1">
        <v>9</v>
      </c>
      <c r="F57" s="1">
        <v>180000</v>
      </c>
      <c r="G57" s="1" t="s">
        <v>241</v>
      </c>
      <c r="H57" s="1" t="s">
        <v>242</v>
      </c>
    </row>
    <row r="58" spans="1:8" x14ac:dyDescent="0.25">
      <c r="A58" s="1" t="s">
        <v>243</v>
      </c>
      <c r="B58" s="1" t="s">
        <v>87</v>
      </c>
      <c r="C58" s="1" t="s">
        <v>244</v>
      </c>
      <c r="D58" s="1" t="s">
        <v>245</v>
      </c>
      <c r="E58" s="1">
        <v>10</v>
      </c>
      <c r="F58" s="1">
        <v>150000</v>
      </c>
      <c r="G58" s="1" t="s">
        <v>246</v>
      </c>
      <c r="H58" s="1" t="s">
        <v>247</v>
      </c>
    </row>
    <row r="59" spans="1:8" x14ac:dyDescent="0.25">
      <c r="A59" s="1" t="s">
        <v>248</v>
      </c>
      <c r="B59" s="1" t="s">
        <v>87</v>
      </c>
      <c r="C59" s="1" t="s">
        <v>217</v>
      </c>
      <c r="D59" s="1" t="s">
        <v>249</v>
      </c>
      <c r="E59" s="1">
        <v>10</v>
      </c>
      <c r="F59" s="1">
        <v>85000</v>
      </c>
      <c r="G59" s="1" t="s">
        <v>241</v>
      </c>
      <c r="H59" s="1" t="s">
        <v>250</v>
      </c>
    </row>
    <row r="60" spans="1:8" x14ac:dyDescent="0.25">
      <c r="A60" s="1" t="s">
        <v>251</v>
      </c>
      <c r="B60" s="1" t="s">
        <v>8</v>
      </c>
      <c r="C60" s="1" t="s">
        <v>252</v>
      </c>
      <c r="D60" s="1" t="s">
        <v>253</v>
      </c>
      <c r="E60" s="1">
        <v>5</v>
      </c>
      <c r="F60" s="1">
        <v>25000</v>
      </c>
      <c r="G60" s="1" t="s">
        <v>254</v>
      </c>
      <c r="H60" s="1" t="s">
        <v>255</v>
      </c>
    </row>
    <row r="61" spans="1:8" x14ac:dyDescent="0.25">
      <c r="A61" s="1" t="s">
        <v>95</v>
      </c>
      <c r="B61" s="1" t="s">
        <v>87</v>
      </c>
      <c r="C61" s="1" t="s">
        <v>151</v>
      </c>
      <c r="D61" s="1" t="s">
        <v>245</v>
      </c>
      <c r="E61" s="1">
        <v>1</v>
      </c>
      <c r="F61" s="1">
        <v>150000</v>
      </c>
      <c r="G61" s="1" t="s">
        <v>106</v>
      </c>
      <c r="H61" s="1" t="s">
        <v>16</v>
      </c>
    </row>
    <row r="62" spans="1:8" x14ac:dyDescent="0.25">
      <c r="A62" s="1" t="s">
        <v>256</v>
      </c>
      <c r="B62" s="1" t="s">
        <v>8</v>
      </c>
      <c r="C62" s="1" t="s">
        <v>257</v>
      </c>
      <c r="D62" s="1" t="s">
        <v>258</v>
      </c>
      <c r="E62" s="1">
        <v>20</v>
      </c>
      <c r="F62" s="1">
        <v>150000</v>
      </c>
      <c r="G62" s="1" t="s">
        <v>259</v>
      </c>
      <c r="H62" s="1" t="s">
        <v>260</v>
      </c>
    </row>
    <row r="63" spans="1:8" x14ac:dyDescent="0.25">
      <c r="A63" s="1" t="s">
        <v>162</v>
      </c>
      <c r="B63" s="1" t="s">
        <v>8</v>
      </c>
      <c r="C63" s="1" t="s">
        <v>261</v>
      </c>
      <c r="D63" s="1" t="s">
        <v>262</v>
      </c>
      <c r="E63" s="1">
        <v>11</v>
      </c>
      <c r="F63" s="1">
        <v>350000</v>
      </c>
      <c r="G63" s="1" t="s">
        <v>263</v>
      </c>
      <c r="H63" s="1" t="s">
        <v>264</v>
      </c>
    </row>
    <row r="64" spans="1:8" x14ac:dyDescent="0.25">
      <c r="A64" s="1" t="s">
        <v>265</v>
      </c>
      <c r="B64" s="1" t="s">
        <v>87</v>
      </c>
      <c r="C64" s="1" t="s">
        <v>266</v>
      </c>
      <c r="D64" s="1" t="s">
        <v>267</v>
      </c>
      <c r="E64" s="1">
        <v>14</v>
      </c>
      <c r="F64" s="1">
        <v>250000</v>
      </c>
      <c r="G64" s="1" t="s">
        <v>268</v>
      </c>
      <c r="H64" s="1" t="s">
        <v>269</v>
      </c>
    </row>
    <row r="65" spans="1:8" x14ac:dyDescent="0.25">
      <c r="A65" s="1" t="s">
        <v>270</v>
      </c>
      <c r="B65" s="1" t="s">
        <v>51</v>
      </c>
      <c r="C65" s="1" t="s">
        <v>92</v>
      </c>
      <c r="D65" s="1" t="s">
        <v>18</v>
      </c>
      <c r="E65" s="1">
        <v>3</v>
      </c>
      <c r="F65" s="1">
        <v>150000</v>
      </c>
      <c r="G65" s="1" t="s">
        <v>271</v>
      </c>
      <c r="H65" s="1" t="s">
        <v>12</v>
      </c>
    </row>
    <row r="66" spans="1:8" x14ac:dyDescent="0.25">
      <c r="A66" s="1" t="s">
        <v>272</v>
      </c>
      <c r="B66" s="1" t="s">
        <v>87</v>
      </c>
      <c r="C66" s="1" t="s">
        <v>273</v>
      </c>
      <c r="D66" s="1" t="s">
        <v>196</v>
      </c>
      <c r="E66" s="1">
        <v>6</v>
      </c>
      <c r="F66" s="1">
        <v>85000</v>
      </c>
      <c r="G66" s="1" t="s">
        <v>274</v>
      </c>
      <c r="H66" s="1" t="s">
        <v>275</v>
      </c>
    </row>
    <row r="67" spans="1:8" x14ac:dyDescent="0.25">
      <c r="A67" s="1" t="s">
        <v>276</v>
      </c>
      <c r="B67" s="1" t="s">
        <v>51</v>
      </c>
      <c r="C67" s="1" t="s">
        <v>261</v>
      </c>
      <c r="D67" s="1" t="s">
        <v>14</v>
      </c>
      <c r="E67" s="1">
        <v>15</v>
      </c>
      <c r="F67" s="1">
        <v>350000</v>
      </c>
      <c r="G67" s="1" t="s">
        <v>277</v>
      </c>
      <c r="H67" s="1" t="s">
        <v>278</v>
      </c>
    </row>
    <row r="68" spans="1:8" x14ac:dyDescent="0.25">
      <c r="A68" s="1" t="s">
        <v>279</v>
      </c>
      <c r="B68" s="1" t="s">
        <v>62</v>
      </c>
      <c r="C68" s="1" t="s">
        <v>92</v>
      </c>
      <c r="D68" s="1" t="s">
        <v>280</v>
      </c>
      <c r="E68" s="1">
        <v>16</v>
      </c>
      <c r="F68" s="1">
        <v>150000</v>
      </c>
      <c r="G68" s="1" t="s">
        <v>281</v>
      </c>
      <c r="H68" s="1" t="s">
        <v>269</v>
      </c>
    </row>
    <row r="69" spans="1:8" x14ac:dyDescent="0.25">
      <c r="A69" s="1" t="s">
        <v>282</v>
      </c>
      <c r="B69" s="1" t="s">
        <v>87</v>
      </c>
      <c r="C69" s="1" t="s">
        <v>283</v>
      </c>
      <c r="D69" s="1" t="s">
        <v>284</v>
      </c>
      <c r="E69" s="1">
        <v>8</v>
      </c>
      <c r="F69" s="1">
        <v>175000</v>
      </c>
      <c r="G69" s="1" t="s">
        <v>285</v>
      </c>
      <c r="H69" s="1" t="s">
        <v>80</v>
      </c>
    </row>
    <row r="70" spans="1:8" x14ac:dyDescent="0.25">
      <c r="A70" s="1" t="s">
        <v>286</v>
      </c>
      <c r="B70" s="1" t="s">
        <v>8</v>
      </c>
      <c r="C70" s="1" t="s">
        <v>287</v>
      </c>
      <c r="D70" s="1" t="s">
        <v>288</v>
      </c>
      <c r="E70" s="1">
        <v>2</v>
      </c>
      <c r="F70" s="1">
        <v>85000</v>
      </c>
      <c r="G70" s="1" t="s">
        <v>289</v>
      </c>
      <c r="H70" s="1" t="s">
        <v>290</v>
      </c>
    </row>
    <row r="71" spans="1:8" x14ac:dyDescent="0.25">
      <c r="A71" s="1" t="s">
        <v>291</v>
      </c>
      <c r="B71" s="1" t="s">
        <v>62</v>
      </c>
      <c r="C71" s="1" t="s">
        <v>292</v>
      </c>
      <c r="D71" s="1" t="s">
        <v>293</v>
      </c>
      <c r="E71" s="1">
        <v>13</v>
      </c>
      <c r="F71" s="1">
        <v>250000</v>
      </c>
      <c r="G71" s="1" t="s">
        <v>294</v>
      </c>
      <c r="H71" s="1" t="s">
        <v>295</v>
      </c>
    </row>
    <row r="72" spans="1:8" x14ac:dyDescent="0.25">
      <c r="A72" s="1" t="s">
        <v>296</v>
      </c>
      <c r="B72" s="1" t="s">
        <v>51</v>
      </c>
      <c r="C72" s="1" t="s">
        <v>136</v>
      </c>
      <c r="D72" s="1" t="s">
        <v>42</v>
      </c>
      <c r="E72" s="1">
        <v>11</v>
      </c>
      <c r="F72" s="1">
        <v>65000</v>
      </c>
      <c r="G72" s="1" t="s">
        <v>297</v>
      </c>
      <c r="H72" s="1" t="s">
        <v>298</v>
      </c>
    </row>
    <row r="73" spans="1:8" x14ac:dyDescent="0.25">
      <c r="A73" s="1" t="s">
        <v>147</v>
      </c>
      <c r="B73" s="1" t="s">
        <v>8</v>
      </c>
      <c r="C73" s="1" t="s">
        <v>299</v>
      </c>
      <c r="D73" s="1" t="s">
        <v>300</v>
      </c>
      <c r="E73" s="1">
        <v>17</v>
      </c>
      <c r="F73" s="1">
        <v>3500</v>
      </c>
      <c r="G73" s="1" t="s">
        <v>301</v>
      </c>
      <c r="H73" s="1" t="s">
        <v>302</v>
      </c>
    </row>
    <row r="74" spans="1:8" x14ac:dyDescent="0.25">
      <c r="A74" s="1" t="s">
        <v>303</v>
      </c>
      <c r="B74" s="1" t="s">
        <v>51</v>
      </c>
      <c r="C74" s="1" t="s">
        <v>304</v>
      </c>
      <c r="D74" s="1" t="s">
        <v>305</v>
      </c>
      <c r="E74" s="1">
        <v>18</v>
      </c>
      <c r="F74" s="1">
        <v>65000</v>
      </c>
      <c r="G74" s="1" t="s">
        <v>102</v>
      </c>
      <c r="H74" s="1" t="s">
        <v>99</v>
      </c>
    </row>
    <row r="75" spans="1:8" x14ac:dyDescent="0.25">
      <c r="A75" s="1" t="s">
        <v>306</v>
      </c>
      <c r="B75" s="1" t="s">
        <v>87</v>
      </c>
      <c r="C75" s="1" t="s">
        <v>307</v>
      </c>
      <c r="D75" s="1" t="s">
        <v>245</v>
      </c>
      <c r="E75" s="1">
        <v>13</v>
      </c>
      <c r="F75" s="1">
        <v>180000</v>
      </c>
      <c r="G75" s="1" t="s">
        <v>124</v>
      </c>
      <c r="H75" s="1" t="s">
        <v>308</v>
      </c>
    </row>
    <row r="76" spans="1:8" x14ac:dyDescent="0.25">
      <c r="A76" s="1" t="s">
        <v>309</v>
      </c>
      <c r="B76" s="1" t="s">
        <v>8</v>
      </c>
      <c r="C76" s="1" t="s">
        <v>310</v>
      </c>
      <c r="D76" s="1" t="s">
        <v>176</v>
      </c>
      <c r="E76" s="1">
        <v>10</v>
      </c>
      <c r="F76" s="1">
        <v>175000</v>
      </c>
      <c r="G76" s="1" t="s">
        <v>311</v>
      </c>
      <c r="H76" s="1" t="s">
        <v>312</v>
      </c>
    </row>
    <row r="77" spans="1:8" x14ac:dyDescent="0.25">
      <c r="A77" s="1" t="s">
        <v>313</v>
      </c>
      <c r="B77" s="1" t="s">
        <v>87</v>
      </c>
      <c r="C77" s="1" t="s">
        <v>195</v>
      </c>
      <c r="D77" s="1" t="s">
        <v>314</v>
      </c>
      <c r="E77" s="1">
        <v>5</v>
      </c>
      <c r="F77" s="1">
        <v>85000</v>
      </c>
      <c r="G77" s="1" t="s">
        <v>315</v>
      </c>
      <c r="H77" s="1" t="s">
        <v>316</v>
      </c>
    </row>
    <row r="78" spans="1:8" x14ac:dyDescent="0.25">
      <c r="A78" s="1" t="s">
        <v>317</v>
      </c>
      <c r="B78" s="1" t="s">
        <v>62</v>
      </c>
      <c r="C78" s="1" t="s">
        <v>318</v>
      </c>
      <c r="D78" s="1" t="s">
        <v>319</v>
      </c>
      <c r="E78" s="1">
        <v>17</v>
      </c>
      <c r="F78" s="1">
        <v>350000</v>
      </c>
      <c r="G78" s="1" t="s">
        <v>172</v>
      </c>
      <c r="H78" s="1" t="s">
        <v>320</v>
      </c>
    </row>
    <row r="79" spans="1:8" x14ac:dyDescent="0.25">
      <c r="A79" s="1" t="s">
        <v>321</v>
      </c>
      <c r="B79" s="1" t="s">
        <v>62</v>
      </c>
      <c r="C79" s="1" t="s">
        <v>322</v>
      </c>
      <c r="D79" s="1" t="s">
        <v>144</v>
      </c>
      <c r="E79" s="1">
        <v>13</v>
      </c>
      <c r="F79" s="1">
        <v>350000</v>
      </c>
      <c r="G79" s="1" t="s">
        <v>323</v>
      </c>
      <c r="H79" s="1" t="s">
        <v>324</v>
      </c>
    </row>
    <row r="80" spans="1:8" x14ac:dyDescent="0.25">
      <c r="A80" s="1" t="s">
        <v>325</v>
      </c>
      <c r="B80" s="1" t="s">
        <v>62</v>
      </c>
      <c r="C80" s="1" t="s">
        <v>326</v>
      </c>
      <c r="D80" s="1" t="s">
        <v>327</v>
      </c>
      <c r="E80" s="1">
        <v>8</v>
      </c>
      <c r="F80" s="1">
        <v>350000</v>
      </c>
      <c r="G80" s="1" t="s">
        <v>328</v>
      </c>
      <c r="H80" s="1" t="s">
        <v>115</v>
      </c>
    </row>
    <row r="81" spans="1:8" x14ac:dyDescent="0.25">
      <c r="A81" s="1" t="s">
        <v>329</v>
      </c>
      <c r="B81" s="1" t="s">
        <v>8</v>
      </c>
      <c r="C81" s="1" t="s">
        <v>330</v>
      </c>
      <c r="D81" s="1" t="s">
        <v>331</v>
      </c>
      <c r="E81" s="1">
        <v>13</v>
      </c>
      <c r="F81" s="1">
        <v>85000</v>
      </c>
      <c r="G81" s="1" t="s">
        <v>332</v>
      </c>
      <c r="H81" s="1" t="s">
        <v>115</v>
      </c>
    </row>
    <row r="82" spans="1:8" x14ac:dyDescent="0.25">
      <c r="A82" s="1" t="s">
        <v>333</v>
      </c>
      <c r="B82" s="1" t="s">
        <v>87</v>
      </c>
      <c r="C82" s="1" t="s">
        <v>334</v>
      </c>
      <c r="D82" s="1" t="s">
        <v>335</v>
      </c>
      <c r="E82" s="1">
        <v>17</v>
      </c>
      <c r="F82" s="1">
        <v>150000</v>
      </c>
      <c r="G82" s="1" t="s">
        <v>336</v>
      </c>
      <c r="H82" s="1" t="s">
        <v>337</v>
      </c>
    </row>
    <row r="83" spans="1:8" x14ac:dyDescent="0.25">
      <c r="A83" s="1" t="s">
        <v>338</v>
      </c>
      <c r="B83" s="1" t="s">
        <v>8</v>
      </c>
      <c r="C83" s="1" t="s">
        <v>339</v>
      </c>
      <c r="D83" s="1" t="s">
        <v>340</v>
      </c>
      <c r="E83" s="1">
        <v>19</v>
      </c>
      <c r="F83" s="1">
        <v>65000</v>
      </c>
      <c r="G83" s="1" t="s">
        <v>341</v>
      </c>
      <c r="H83" s="1" t="s">
        <v>342</v>
      </c>
    </row>
    <row r="84" spans="1:8" x14ac:dyDescent="0.25">
      <c r="A84" s="1" t="s">
        <v>343</v>
      </c>
      <c r="B84" s="1" t="s">
        <v>62</v>
      </c>
      <c r="C84" s="1" t="s">
        <v>52</v>
      </c>
      <c r="D84" s="1" t="s">
        <v>32</v>
      </c>
      <c r="E84" s="1">
        <v>1</v>
      </c>
      <c r="F84" s="1">
        <v>150000</v>
      </c>
      <c r="G84" s="1" t="s">
        <v>124</v>
      </c>
      <c r="H84" s="1" t="s">
        <v>344</v>
      </c>
    </row>
    <row r="85" spans="1:8" x14ac:dyDescent="0.25">
      <c r="A85" s="1" t="s">
        <v>345</v>
      </c>
      <c r="B85" s="1" t="s">
        <v>87</v>
      </c>
      <c r="C85" s="1" t="s">
        <v>252</v>
      </c>
      <c r="D85" s="1" t="s">
        <v>346</v>
      </c>
      <c r="E85" s="1">
        <v>13</v>
      </c>
      <c r="F85" s="1">
        <v>250000</v>
      </c>
      <c r="G85" s="1" t="s">
        <v>347</v>
      </c>
      <c r="H85" s="1" t="s">
        <v>247</v>
      </c>
    </row>
    <row r="86" spans="1:8" x14ac:dyDescent="0.25">
      <c r="A86" s="1" t="s">
        <v>348</v>
      </c>
      <c r="B86" s="1" t="s">
        <v>87</v>
      </c>
      <c r="C86" s="1" t="s">
        <v>349</v>
      </c>
      <c r="D86" s="1" t="s">
        <v>350</v>
      </c>
      <c r="E86" s="1">
        <v>18</v>
      </c>
      <c r="F86" s="1">
        <v>65000</v>
      </c>
      <c r="G86" s="1" t="s">
        <v>263</v>
      </c>
      <c r="H86" s="1" t="s">
        <v>187</v>
      </c>
    </row>
    <row r="87" spans="1:8" x14ac:dyDescent="0.25">
      <c r="A87" s="1" t="s">
        <v>351</v>
      </c>
      <c r="B87" s="1" t="s">
        <v>62</v>
      </c>
      <c r="C87" s="1" t="s">
        <v>352</v>
      </c>
      <c r="D87" s="1" t="s">
        <v>353</v>
      </c>
      <c r="E87" s="1">
        <v>20</v>
      </c>
      <c r="F87" s="1">
        <v>250000</v>
      </c>
      <c r="G87" s="1" t="s">
        <v>354</v>
      </c>
      <c r="H87" s="1" t="s">
        <v>355</v>
      </c>
    </row>
    <row r="88" spans="1:8" x14ac:dyDescent="0.25">
      <c r="A88" s="1" t="s">
        <v>356</v>
      </c>
      <c r="B88" s="1" t="s">
        <v>87</v>
      </c>
      <c r="C88" s="1" t="s">
        <v>240</v>
      </c>
      <c r="D88" s="1" t="s">
        <v>18</v>
      </c>
      <c r="E88" s="1">
        <v>4</v>
      </c>
      <c r="F88" s="1">
        <v>180000</v>
      </c>
      <c r="G88" s="1" t="s">
        <v>357</v>
      </c>
      <c r="H88" s="1" t="s">
        <v>34</v>
      </c>
    </row>
    <row r="89" spans="1:8" x14ac:dyDescent="0.25">
      <c r="A89" s="1" t="s">
        <v>358</v>
      </c>
      <c r="B89" s="1" t="s">
        <v>8</v>
      </c>
      <c r="C89" s="1" t="s">
        <v>52</v>
      </c>
      <c r="D89" s="1" t="s">
        <v>32</v>
      </c>
      <c r="E89" s="1">
        <v>5</v>
      </c>
      <c r="F89" s="1">
        <v>150000</v>
      </c>
      <c r="G89" s="1" t="s">
        <v>301</v>
      </c>
      <c r="H89" s="1" t="s">
        <v>359</v>
      </c>
    </row>
    <row r="90" spans="1:8" x14ac:dyDescent="0.25">
      <c r="A90" s="1" t="s">
        <v>360</v>
      </c>
      <c r="B90" s="1" t="s">
        <v>51</v>
      </c>
      <c r="C90" s="1" t="s">
        <v>9</v>
      </c>
      <c r="D90" s="1" t="s">
        <v>10</v>
      </c>
      <c r="E90" s="1">
        <v>11</v>
      </c>
      <c r="F90" s="1">
        <v>2500000</v>
      </c>
      <c r="G90" s="1" t="s">
        <v>19</v>
      </c>
      <c r="H90" s="1" t="s">
        <v>361</v>
      </c>
    </row>
    <row r="91" spans="1:8" x14ac:dyDescent="0.25">
      <c r="A91" s="1" t="s">
        <v>362</v>
      </c>
      <c r="B91" s="1" t="s">
        <v>87</v>
      </c>
      <c r="C91" s="1" t="s">
        <v>363</v>
      </c>
      <c r="D91" s="1" t="s">
        <v>364</v>
      </c>
      <c r="E91" s="1">
        <v>20</v>
      </c>
      <c r="F91" s="1">
        <v>250000</v>
      </c>
      <c r="G91" s="1" t="s">
        <v>365</v>
      </c>
      <c r="H91" s="1" t="s">
        <v>366</v>
      </c>
    </row>
    <row r="92" spans="1:8" x14ac:dyDescent="0.25">
      <c r="A92" s="1" t="s">
        <v>367</v>
      </c>
      <c r="B92" s="1" t="s">
        <v>51</v>
      </c>
      <c r="C92" s="1" t="s">
        <v>368</v>
      </c>
      <c r="D92" s="1" t="s">
        <v>369</v>
      </c>
      <c r="E92" s="1">
        <v>7</v>
      </c>
      <c r="F92" s="1">
        <v>89233</v>
      </c>
      <c r="G92" s="1" t="s">
        <v>370</v>
      </c>
      <c r="H92" s="1" t="s">
        <v>371</v>
      </c>
    </row>
    <row r="93" spans="1:8" x14ac:dyDescent="0.25">
      <c r="A93" s="1" t="s">
        <v>372</v>
      </c>
      <c r="B93" s="1" t="s">
        <v>87</v>
      </c>
      <c r="C93" s="1" t="s">
        <v>373</v>
      </c>
      <c r="D93" s="1" t="s">
        <v>374</v>
      </c>
      <c r="E93" s="1">
        <v>5</v>
      </c>
      <c r="F93" s="1">
        <v>250000</v>
      </c>
      <c r="G93" s="1" t="s">
        <v>375</v>
      </c>
      <c r="H93" s="1" t="s">
        <v>376</v>
      </c>
    </row>
    <row r="94" spans="1:8" x14ac:dyDescent="0.25">
      <c r="A94" s="1" t="s">
        <v>377</v>
      </c>
      <c r="B94" s="1" t="s">
        <v>87</v>
      </c>
      <c r="C94" s="1" t="s">
        <v>378</v>
      </c>
      <c r="D94" s="1" t="s">
        <v>176</v>
      </c>
      <c r="E94" s="1">
        <v>19</v>
      </c>
      <c r="F94" s="1">
        <v>175000</v>
      </c>
      <c r="G94" s="1" t="s">
        <v>379</v>
      </c>
      <c r="H94" s="1" t="s">
        <v>380</v>
      </c>
    </row>
    <row r="95" spans="1:8" x14ac:dyDescent="0.25">
      <c r="A95" s="1" t="s">
        <v>381</v>
      </c>
      <c r="B95" s="1" t="s">
        <v>87</v>
      </c>
      <c r="C95" s="1" t="s">
        <v>140</v>
      </c>
      <c r="D95" s="1" t="s">
        <v>144</v>
      </c>
      <c r="E95" s="1">
        <v>14</v>
      </c>
      <c r="F95" s="1">
        <v>350000</v>
      </c>
      <c r="G95" s="1" t="s">
        <v>382</v>
      </c>
      <c r="H95" s="1" t="s">
        <v>383</v>
      </c>
    </row>
    <row r="96" spans="1:8" x14ac:dyDescent="0.25">
      <c r="A96" s="1" t="s">
        <v>384</v>
      </c>
      <c r="B96" s="1" t="s">
        <v>87</v>
      </c>
      <c r="C96" s="1" t="s">
        <v>385</v>
      </c>
      <c r="D96" s="1" t="s">
        <v>386</v>
      </c>
      <c r="E96" s="1">
        <v>20</v>
      </c>
      <c r="F96" s="1">
        <v>175000</v>
      </c>
      <c r="G96" s="1" t="s">
        <v>387</v>
      </c>
      <c r="H96" s="1" t="s">
        <v>388</v>
      </c>
    </row>
    <row r="97" spans="1:8" x14ac:dyDescent="0.25">
      <c r="A97" s="1" t="s">
        <v>389</v>
      </c>
      <c r="B97" s="1" t="s">
        <v>8</v>
      </c>
      <c r="C97" s="1" t="s">
        <v>330</v>
      </c>
      <c r="D97" s="1" t="s">
        <v>390</v>
      </c>
      <c r="E97" s="1">
        <v>18</v>
      </c>
      <c r="F97" s="1">
        <v>85000</v>
      </c>
      <c r="G97" s="1" t="s">
        <v>391</v>
      </c>
      <c r="H97" s="1" t="s">
        <v>392</v>
      </c>
    </row>
    <row r="98" spans="1:8" x14ac:dyDescent="0.25">
      <c r="A98" s="1" t="s">
        <v>393</v>
      </c>
      <c r="B98" s="1" t="s">
        <v>62</v>
      </c>
      <c r="C98" s="1" t="s">
        <v>394</v>
      </c>
      <c r="D98" s="1" t="s">
        <v>395</v>
      </c>
      <c r="E98" s="1">
        <v>17</v>
      </c>
      <c r="F98" s="1">
        <v>175000</v>
      </c>
      <c r="G98" s="1" t="s">
        <v>396</v>
      </c>
      <c r="H98" s="1" t="s">
        <v>397</v>
      </c>
    </row>
    <row r="99" spans="1:8" x14ac:dyDescent="0.25">
      <c r="A99" s="1" t="s">
        <v>398</v>
      </c>
      <c r="B99" s="1" t="s">
        <v>8</v>
      </c>
      <c r="C99" s="1" t="s">
        <v>191</v>
      </c>
      <c r="D99" s="1" t="s">
        <v>346</v>
      </c>
      <c r="E99" s="1">
        <v>20</v>
      </c>
      <c r="F99" s="1">
        <v>250000</v>
      </c>
      <c r="G99" s="1" t="s">
        <v>274</v>
      </c>
      <c r="H99" s="1" t="s">
        <v>16</v>
      </c>
    </row>
    <row r="100" spans="1:8" x14ac:dyDescent="0.25">
      <c r="A100" s="1" t="s">
        <v>399</v>
      </c>
      <c r="B100" s="1" t="s">
        <v>8</v>
      </c>
      <c r="C100" s="1" t="s">
        <v>261</v>
      </c>
      <c r="D100" s="1" t="s">
        <v>144</v>
      </c>
      <c r="E100" s="1">
        <v>20</v>
      </c>
      <c r="F100" s="1">
        <v>350000</v>
      </c>
      <c r="G100" s="1" t="s">
        <v>400</v>
      </c>
      <c r="H100" s="1" t="s">
        <v>401</v>
      </c>
    </row>
    <row r="101" spans="1:8" x14ac:dyDescent="0.25">
      <c r="A101" s="1" t="s">
        <v>402</v>
      </c>
      <c r="B101" s="1" t="s">
        <v>51</v>
      </c>
      <c r="C101" s="1" t="s">
        <v>403</v>
      </c>
      <c r="D101" s="1" t="s">
        <v>404</v>
      </c>
      <c r="E101" s="1">
        <v>18</v>
      </c>
      <c r="F101" s="1">
        <v>150000</v>
      </c>
      <c r="G101" s="1" t="s">
        <v>405</v>
      </c>
      <c r="H101" s="1" t="s">
        <v>406</v>
      </c>
    </row>
  </sheetData>
  <autoFilter ref="A1:H101" xr:uid="{00000000-0001-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A5DD6-F83D-44D9-9121-D952BCF74C8E}">
  <sheetPr>
    <tabColor rgb="FF7030A0"/>
  </sheetPr>
  <dimension ref="A1:O101"/>
  <sheetViews>
    <sheetView topLeftCell="A67" workbookViewId="0">
      <selection activeCell="K2" sqref="K2"/>
    </sheetView>
  </sheetViews>
  <sheetFormatPr defaultRowHeight="15" x14ac:dyDescent="0.25"/>
  <cols>
    <col min="1" max="1" width="28.28515625" bestFit="1" customWidth="1"/>
    <col min="2" max="5" width="18.85546875" customWidth="1"/>
    <col min="6" max="6" width="18.85546875" style="12" customWidth="1"/>
    <col min="7" max="9" width="18.85546875" customWidth="1"/>
    <col min="10" max="10" width="21.5703125" customWidth="1"/>
    <col min="11" max="11" width="24.140625" bestFit="1" customWidth="1"/>
    <col min="12" max="12" width="25.140625" bestFit="1" customWidth="1"/>
    <col min="13" max="13" width="24.7109375" bestFit="1" customWidth="1"/>
    <col min="14" max="14" width="25.140625" bestFit="1" customWidth="1"/>
    <col min="15" max="15" width="23.42578125" bestFit="1" customWidth="1"/>
  </cols>
  <sheetData>
    <row r="1" spans="1:15" x14ac:dyDescent="0.25">
      <c r="A1" s="15" t="s">
        <v>0</v>
      </c>
      <c r="B1" s="16" t="s">
        <v>1</v>
      </c>
      <c r="C1" s="16" t="s">
        <v>2</v>
      </c>
      <c r="D1" s="16" t="s">
        <v>3</v>
      </c>
      <c r="E1" s="16" t="s">
        <v>4</v>
      </c>
      <c r="F1" s="17" t="s">
        <v>5</v>
      </c>
      <c r="G1" s="16" t="s">
        <v>450</v>
      </c>
      <c r="H1" s="16" t="s">
        <v>6</v>
      </c>
      <c r="I1" s="18" t="s">
        <v>7</v>
      </c>
      <c r="J1" s="16" t="s">
        <v>452</v>
      </c>
      <c r="K1" s="16" t="s">
        <v>438</v>
      </c>
      <c r="L1" s="16" t="s">
        <v>439</v>
      </c>
      <c r="M1" s="16" t="s">
        <v>442</v>
      </c>
      <c r="N1" s="16" t="s">
        <v>440</v>
      </c>
      <c r="O1" s="16" t="s">
        <v>441</v>
      </c>
    </row>
    <row r="2" spans="1:15" x14ac:dyDescent="0.25">
      <c r="A2" s="10">
        <v>45821</v>
      </c>
      <c r="B2" s="1" t="s">
        <v>8</v>
      </c>
      <c r="C2" s="1" t="s">
        <v>104</v>
      </c>
      <c r="D2" s="1" t="s">
        <v>105</v>
      </c>
      <c r="E2" s="1">
        <v>8</v>
      </c>
      <c r="F2" s="11">
        <v>250000</v>
      </c>
      <c r="G2" s="13">
        <f>E2*F2</f>
        <v>2000000</v>
      </c>
      <c r="H2" s="1" t="s">
        <v>156</v>
      </c>
      <c r="I2" s="14" t="s">
        <v>415</v>
      </c>
      <c r="J2" s="25">
        <f>SUM(SalesData[Sales])</f>
        <v>217575000</v>
      </c>
      <c r="K2" cm="1">
        <f t="array" ref="K2">SUM(1/COUNTIF(SalesData[Sales Rep], SalesData[Sales Rep]))</f>
        <v>9.9999999999999964</v>
      </c>
      <c r="L2" cm="1">
        <f t="array" ref="L2">SUM(1/COUNTIF(SalesData[Customer],SalesData[Customer]))</f>
        <v>13.999999999999995</v>
      </c>
      <c r="M2">
        <f>SUM(SalesData[Units Sold])</f>
        <v>1141</v>
      </c>
      <c r="N2" cm="1">
        <f t="array" ref="N2">SUM(1/COUNTIF(SalesData[Category],SalesData[Category]))</f>
        <v>5.9999999999999929</v>
      </c>
      <c r="O2" cm="1">
        <f t="array" ref="O2">SUM(1/COUNTIF(SalesData[Product],SalesData[Product]))</f>
        <v>7.9999999999999938</v>
      </c>
    </row>
    <row r="3" spans="1:15" x14ac:dyDescent="0.25">
      <c r="A3" s="10">
        <v>45873</v>
      </c>
      <c r="B3" s="1" t="s">
        <v>87</v>
      </c>
      <c r="C3" s="1" t="s">
        <v>427</v>
      </c>
      <c r="D3" s="1" t="s">
        <v>144</v>
      </c>
      <c r="E3" s="1">
        <v>6</v>
      </c>
      <c r="F3" s="11">
        <v>350000</v>
      </c>
      <c r="G3" s="13">
        <f t="shared" ref="G3:G66" si="0">E3*F3</f>
        <v>2100000</v>
      </c>
      <c r="H3" s="1" t="s">
        <v>411</v>
      </c>
      <c r="I3" s="14" t="s">
        <v>16</v>
      </c>
      <c r="O3" s="9"/>
    </row>
    <row r="4" spans="1:15" x14ac:dyDescent="0.25">
      <c r="A4" s="10">
        <v>45686</v>
      </c>
      <c r="B4" s="1" t="s">
        <v>62</v>
      </c>
      <c r="C4" s="1" t="s">
        <v>428</v>
      </c>
      <c r="D4" s="1" t="s">
        <v>18</v>
      </c>
      <c r="E4" s="1">
        <v>14</v>
      </c>
      <c r="F4" s="11">
        <v>180000</v>
      </c>
      <c r="G4" s="13">
        <f t="shared" si="0"/>
        <v>2520000</v>
      </c>
      <c r="H4" s="1" t="s">
        <v>274</v>
      </c>
      <c r="I4" s="14" t="s">
        <v>419</v>
      </c>
      <c r="O4" s="9"/>
    </row>
    <row r="5" spans="1:15" x14ac:dyDescent="0.25">
      <c r="A5" s="10">
        <v>45794</v>
      </c>
      <c r="B5" s="1" t="s">
        <v>8</v>
      </c>
      <c r="C5" s="1" t="s">
        <v>423</v>
      </c>
      <c r="D5" s="1" t="s">
        <v>421</v>
      </c>
      <c r="E5" s="1">
        <v>18</v>
      </c>
      <c r="F5" s="11">
        <v>65000</v>
      </c>
      <c r="G5" s="13">
        <f t="shared" si="0"/>
        <v>1170000</v>
      </c>
      <c r="H5" s="1" t="s">
        <v>411</v>
      </c>
      <c r="I5" s="14" t="s">
        <v>417</v>
      </c>
      <c r="O5" s="9"/>
    </row>
    <row r="6" spans="1:15" x14ac:dyDescent="0.25">
      <c r="A6" s="10">
        <v>45685</v>
      </c>
      <c r="B6" s="1" t="s">
        <v>51</v>
      </c>
      <c r="C6" s="1" t="s">
        <v>428</v>
      </c>
      <c r="D6" s="1" t="s">
        <v>18</v>
      </c>
      <c r="E6" s="1">
        <v>5</v>
      </c>
      <c r="F6" s="11">
        <v>180000</v>
      </c>
      <c r="G6" s="13">
        <f t="shared" si="0"/>
        <v>900000</v>
      </c>
      <c r="H6" s="1" t="s">
        <v>156</v>
      </c>
      <c r="I6" s="14" t="s">
        <v>295</v>
      </c>
      <c r="O6" s="9"/>
    </row>
    <row r="7" spans="1:15" x14ac:dyDescent="0.25">
      <c r="A7" s="10">
        <v>45803</v>
      </c>
      <c r="B7" s="1" t="s">
        <v>87</v>
      </c>
      <c r="C7" s="1" t="s">
        <v>428</v>
      </c>
      <c r="D7" s="1" t="s">
        <v>18</v>
      </c>
      <c r="E7" s="1">
        <v>19</v>
      </c>
      <c r="F7" s="11">
        <v>180000</v>
      </c>
      <c r="G7" s="13">
        <f t="shared" si="0"/>
        <v>3420000</v>
      </c>
      <c r="H7" s="1" t="s">
        <v>411</v>
      </c>
      <c r="I7" s="14" t="s">
        <v>16</v>
      </c>
      <c r="O7" s="9"/>
    </row>
    <row r="8" spans="1:15" x14ac:dyDescent="0.25">
      <c r="A8" s="10">
        <v>45783</v>
      </c>
      <c r="B8" s="1" t="s">
        <v>51</v>
      </c>
      <c r="C8" s="1" t="s">
        <v>427</v>
      </c>
      <c r="D8" s="1" t="s">
        <v>144</v>
      </c>
      <c r="E8" s="1">
        <v>3</v>
      </c>
      <c r="F8" s="11">
        <v>350000</v>
      </c>
      <c r="G8" s="13">
        <f t="shared" si="0"/>
        <v>1050000</v>
      </c>
      <c r="H8" s="1" t="s">
        <v>65</v>
      </c>
      <c r="I8" s="14" t="s">
        <v>295</v>
      </c>
      <c r="O8" s="9"/>
    </row>
    <row r="9" spans="1:15" x14ac:dyDescent="0.25">
      <c r="A9" s="10">
        <v>45698</v>
      </c>
      <c r="B9" s="1" t="s">
        <v>51</v>
      </c>
      <c r="C9" s="1" t="s">
        <v>423</v>
      </c>
      <c r="D9" s="1" t="s">
        <v>421</v>
      </c>
      <c r="E9" s="1">
        <v>2</v>
      </c>
      <c r="F9" s="11">
        <v>65000</v>
      </c>
      <c r="G9" s="13">
        <f t="shared" si="0"/>
        <v>130000</v>
      </c>
      <c r="H9" s="1" t="s">
        <v>156</v>
      </c>
      <c r="I9" s="14" t="s">
        <v>16</v>
      </c>
      <c r="O9" s="9"/>
    </row>
    <row r="10" spans="1:15" x14ac:dyDescent="0.25">
      <c r="A10" s="10">
        <v>45689</v>
      </c>
      <c r="B10" s="1" t="s">
        <v>87</v>
      </c>
      <c r="C10" s="1" t="s">
        <v>422</v>
      </c>
      <c r="D10" s="1" t="s">
        <v>97</v>
      </c>
      <c r="E10" s="1">
        <v>14</v>
      </c>
      <c r="F10" s="11">
        <v>175000</v>
      </c>
      <c r="G10" s="13">
        <f t="shared" si="0"/>
        <v>2450000</v>
      </c>
      <c r="H10" s="1" t="s">
        <v>274</v>
      </c>
      <c r="I10" s="14" t="s">
        <v>415</v>
      </c>
      <c r="O10" s="9"/>
    </row>
    <row r="11" spans="1:15" x14ac:dyDescent="0.25">
      <c r="A11" s="10">
        <v>45836</v>
      </c>
      <c r="B11" s="1" t="s">
        <v>51</v>
      </c>
      <c r="C11" s="1" t="s">
        <v>92</v>
      </c>
      <c r="D11" s="1" t="s">
        <v>18</v>
      </c>
      <c r="E11" s="1">
        <v>4</v>
      </c>
      <c r="F11" s="11">
        <v>150000</v>
      </c>
      <c r="G11" s="13">
        <f t="shared" si="0"/>
        <v>600000</v>
      </c>
      <c r="H11" s="1" t="s">
        <v>156</v>
      </c>
      <c r="I11" s="14" t="s">
        <v>55</v>
      </c>
      <c r="O11" s="9"/>
    </row>
    <row r="12" spans="1:15" x14ac:dyDescent="0.25">
      <c r="A12" s="10">
        <v>45765</v>
      </c>
      <c r="B12" s="1" t="s">
        <v>8</v>
      </c>
      <c r="C12" s="1" t="s">
        <v>92</v>
      </c>
      <c r="D12" s="1" t="s">
        <v>18</v>
      </c>
      <c r="E12" s="1">
        <v>20</v>
      </c>
      <c r="F12" s="11">
        <v>150000</v>
      </c>
      <c r="G12" s="13">
        <f t="shared" si="0"/>
        <v>3000000</v>
      </c>
      <c r="H12" s="1" t="s">
        <v>274</v>
      </c>
      <c r="I12" s="14" t="s">
        <v>16</v>
      </c>
      <c r="O12" s="9"/>
    </row>
    <row r="13" spans="1:15" x14ac:dyDescent="0.25">
      <c r="A13" s="10">
        <v>45713</v>
      </c>
      <c r="B13" s="1" t="s">
        <v>62</v>
      </c>
      <c r="C13" s="1" t="s">
        <v>424</v>
      </c>
      <c r="D13" s="1" t="s">
        <v>196</v>
      </c>
      <c r="E13" s="1">
        <v>6</v>
      </c>
      <c r="F13" s="11">
        <v>85000</v>
      </c>
      <c r="G13" s="13">
        <f t="shared" si="0"/>
        <v>510000</v>
      </c>
      <c r="H13" s="1" t="s">
        <v>65</v>
      </c>
      <c r="I13" s="14" t="s">
        <v>66</v>
      </c>
      <c r="O13" s="9"/>
    </row>
    <row r="14" spans="1:15" x14ac:dyDescent="0.25">
      <c r="A14" s="10">
        <v>45776</v>
      </c>
      <c r="B14" s="1" t="s">
        <v>51</v>
      </c>
      <c r="C14" s="1" t="s">
        <v>92</v>
      </c>
      <c r="D14" s="1" t="s">
        <v>18</v>
      </c>
      <c r="E14" s="1">
        <v>1</v>
      </c>
      <c r="F14" s="11">
        <v>150000</v>
      </c>
      <c r="G14" s="13">
        <f t="shared" si="0"/>
        <v>150000</v>
      </c>
      <c r="H14" s="1" t="s">
        <v>65</v>
      </c>
      <c r="I14" s="14" t="s">
        <v>418</v>
      </c>
      <c r="O14" s="9"/>
    </row>
    <row r="15" spans="1:15" x14ac:dyDescent="0.25">
      <c r="A15" s="10">
        <v>45690</v>
      </c>
      <c r="B15" s="1" t="s">
        <v>87</v>
      </c>
      <c r="C15" s="1" t="s">
        <v>427</v>
      </c>
      <c r="D15" s="1" t="s">
        <v>144</v>
      </c>
      <c r="E15" s="1">
        <v>18</v>
      </c>
      <c r="F15" s="11">
        <v>350000</v>
      </c>
      <c r="G15" s="13">
        <f t="shared" si="0"/>
        <v>6300000</v>
      </c>
      <c r="H15" s="1" t="s">
        <v>102</v>
      </c>
      <c r="I15" s="14" t="s">
        <v>416</v>
      </c>
      <c r="O15" s="9"/>
    </row>
    <row r="16" spans="1:15" x14ac:dyDescent="0.25">
      <c r="A16" s="10">
        <v>45762</v>
      </c>
      <c r="B16" s="1" t="s">
        <v>8</v>
      </c>
      <c r="C16" s="1" t="s">
        <v>424</v>
      </c>
      <c r="D16" s="1" t="s">
        <v>196</v>
      </c>
      <c r="E16" s="1">
        <v>2</v>
      </c>
      <c r="F16" s="11">
        <v>85000</v>
      </c>
      <c r="G16" s="13">
        <f t="shared" si="0"/>
        <v>170000</v>
      </c>
      <c r="H16" s="1" t="s">
        <v>411</v>
      </c>
      <c r="I16" s="14" t="s">
        <v>415</v>
      </c>
      <c r="O16" s="9"/>
    </row>
    <row r="17" spans="1:15" x14ac:dyDescent="0.25">
      <c r="A17" s="10">
        <v>45820</v>
      </c>
      <c r="B17" s="1" t="s">
        <v>87</v>
      </c>
      <c r="C17" s="1" t="s">
        <v>423</v>
      </c>
      <c r="D17" s="1" t="s">
        <v>421</v>
      </c>
      <c r="E17" s="1">
        <v>11</v>
      </c>
      <c r="F17" s="11">
        <v>65000</v>
      </c>
      <c r="G17" s="13">
        <f t="shared" si="0"/>
        <v>715000</v>
      </c>
      <c r="H17" s="1" t="s">
        <v>102</v>
      </c>
      <c r="I17" s="14" t="s">
        <v>420</v>
      </c>
      <c r="O17" s="9"/>
    </row>
    <row r="18" spans="1:15" x14ac:dyDescent="0.25">
      <c r="A18" s="10">
        <v>45688</v>
      </c>
      <c r="B18" s="1" t="s">
        <v>87</v>
      </c>
      <c r="C18" s="1" t="s">
        <v>422</v>
      </c>
      <c r="D18" s="1" t="s">
        <v>97</v>
      </c>
      <c r="E18" s="1">
        <v>10</v>
      </c>
      <c r="F18" s="11">
        <v>175000</v>
      </c>
      <c r="G18" s="13">
        <f t="shared" si="0"/>
        <v>1750000</v>
      </c>
      <c r="H18" s="1" t="s">
        <v>274</v>
      </c>
      <c r="I18" s="14" t="s">
        <v>66</v>
      </c>
      <c r="O18" s="9"/>
    </row>
    <row r="19" spans="1:15" x14ac:dyDescent="0.25">
      <c r="A19" s="10">
        <v>45690</v>
      </c>
      <c r="B19" s="1" t="s">
        <v>51</v>
      </c>
      <c r="C19" s="1" t="s">
        <v>92</v>
      </c>
      <c r="D19" s="1" t="s">
        <v>18</v>
      </c>
      <c r="E19" s="1">
        <v>4</v>
      </c>
      <c r="F19" s="11">
        <v>150000</v>
      </c>
      <c r="G19" s="13">
        <f t="shared" si="0"/>
        <v>600000</v>
      </c>
      <c r="H19" s="1" t="s">
        <v>379</v>
      </c>
      <c r="I19" s="14" t="s">
        <v>417</v>
      </c>
      <c r="O19" s="9"/>
    </row>
    <row r="20" spans="1:15" x14ac:dyDescent="0.25">
      <c r="A20" s="10">
        <v>45802</v>
      </c>
      <c r="B20" s="1" t="s">
        <v>51</v>
      </c>
      <c r="C20" s="1" t="s">
        <v>422</v>
      </c>
      <c r="D20" s="1" t="s">
        <v>97</v>
      </c>
      <c r="E20" s="1">
        <v>3</v>
      </c>
      <c r="F20" s="11">
        <v>175000</v>
      </c>
      <c r="G20" s="13">
        <f t="shared" si="0"/>
        <v>525000</v>
      </c>
      <c r="H20" s="1" t="s">
        <v>412</v>
      </c>
      <c r="I20" s="14" t="s">
        <v>225</v>
      </c>
      <c r="O20" s="9"/>
    </row>
    <row r="21" spans="1:15" x14ac:dyDescent="0.25">
      <c r="A21" s="10">
        <v>45714</v>
      </c>
      <c r="B21" s="1" t="s">
        <v>62</v>
      </c>
      <c r="C21" s="1" t="s">
        <v>422</v>
      </c>
      <c r="D21" s="1" t="s">
        <v>97</v>
      </c>
      <c r="E21" s="1">
        <v>5</v>
      </c>
      <c r="F21" s="11">
        <v>175000</v>
      </c>
      <c r="G21" s="13">
        <f t="shared" si="0"/>
        <v>875000</v>
      </c>
      <c r="H21" s="1" t="s">
        <v>102</v>
      </c>
      <c r="I21" s="14" t="s">
        <v>225</v>
      </c>
      <c r="O21" s="9"/>
    </row>
    <row r="22" spans="1:15" x14ac:dyDescent="0.25">
      <c r="A22" s="10">
        <v>45753</v>
      </c>
      <c r="B22" s="1" t="s">
        <v>87</v>
      </c>
      <c r="C22" s="1" t="s">
        <v>104</v>
      </c>
      <c r="D22" s="1" t="s">
        <v>105</v>
      </c>
      <c r="E22" s="1">
        <v>20</v>
      </c>
      <c r="F22" s="11">
        <v>250000</v>
      </c>
      <c r="G22" s="13">
        <f t="shared" si="0"/>
        <v>5000000</v>
      </c>
      <c r="H22" s="1" t="s">
        <v>412</v>
      </c>
      <c r="I22" s="14" t="s">
        <v>16</v>
      </c>
      <c r="O22" s="9"/>
    </row>
    <row r="23" spans="1:15" x14ac:dyDescent="0.25">
      <c r="A23" s="10">
        <v>45712</v>
      </c>
      <c r="B23" s="1" t="s">
        <v>87</v>
      </c>
      <c r="C23" s="1" t="s">
        <v>422</v>
      </c>
      <c r="D23" s="1" t="s">
        <v>97</v>
      </c>
      <c r="E23" s="1">
        <v>2</v>
      </c>
      <c r="F23" s="11">
        <v>175000</v>
      </c>
      <c r="G23" s="13">
        <f t="shared" si="0"/>
        <v>350000</v>
      </c>
      <c r="H23" s="1" t="s">
        <v>156</v>
      </c>
      <c r="I23" s="14" t="s">
        <v>416</v>
      </c>
      <c r="O23" s="9"/>
    </row>
    <row r="24" spans="1:15" x14ac:dyDescent="0.25">
      <c r="A24" s="10">
        <v>45740</v>
      </c>
      <c r="B24" s="1" t="s">
        <v>87</v>
      </c>
      <c r="C24" s="1" t="s">
        <v>92</v>
      </c>
      <c r="D24" s="1" t="s">
        <v>18</v>
      </c>
      <c r="E24" s="1">
        <v>20</v>
      </c>
      <c r="F24" s="11">
        <v>150000</v>
      </c>
      <c r="G24" s="13">
        <f t="shared" si="0"/>
        <v>3000000</v>
      </c>
      <c r="H24" s="1" t="s">
        <v>274</v>
      </c>
      <c r="I24" s="14" t="s">
        <v>115</v>
      </c>
      <c r="O24" s="9"/>
    </row>
    <row r="25" spans="1:15" x14ac:dyDescent="0.25">
      <c r="A25" s="10">
        <v>45805</v>
      </c>
      <c r="B25" s="1" t="s">
        <v>62</v>
      </c>
      <c r="C25" s="1" t="s">
        <v>92</v>
      </c>
      <c r="D25" s="1" t="s">
        <v>18</v>
      </c>
      <c r="E25" s="1">
        <v>8</v>
      </c>
      <c r="F25" s="11">
        <v>150000</v>
      </c>
      <c r="G25" s="13">
        <f t="shared" si="0"/>
        <v>1200000</v>
      </c>
      <c r="H25" s="1" t="s">
        <v>411</v>
      </c>
      <c r="I25" s="14" t="s">
        <v>66</v>
      </c>
      <c r="O25" s="9"/>
    </row>
    <row r="26" spans="1:15" x14ac:dyDescent="0.25">
      <c r="A26" s="10">
        <v>45789</v>
      </c>
      <c r="B26" s="1" t="s">
        <v>51</v>
      </c>
      <c r="C26" s="1" t="s">
        <v>104</v>
      </c>
      <c r="D26" s="1" t="s">
        <v>105</v>
      </c>
      <c r="E26" s="1">
        <v>19</v>
      </c>
      <c r="F26" s="11">
        <v>250000</v>
      </c>
      <c r="G26" s="13">
        <f t="shared" si="0"/>
        <v>4750000</v>
      </c>
      <c r="H26" s="1" t="s">
        <v>412</v>
      </c>
      <c r="I26" s="14" t="s">
        <v>225</v>
      </c>
      <c r="O26" s="9"/>
    </row>
    <row r="27" spans="1:15" x14ac:dyDescent="0.25">
      <c r="A27" s="10">
        <v>45788</v>
      </c>
      <c r="B27" s="1" t="s">
        <v>87</v>
      </c>
      <c r="C27" s="1" t="s">
        <v>422</v>
      </c>
      <c r="D27" s="1" t="s">
        <v>97</v>
      </c>
      <c r="E27" s="1">
        <v>12</v>
      </c>
      <c r="F27" s="11">
        <v>175000</v>
      </c>
      <c r="G27" s="13">
        <f t="shared" si="0"/>
        <v>2100000</v>
      </c>
      <c r="H27" s="1" t="s">
        <v>102</v>
      </c>
      <c r="I27" s="14" t="s">
        <v>66</v>
      </c>
      <c r="O27" s="9"/>
    </row>
    <row r="28" spans="1:15" x14ac:dyDescent="0.25">
      <c r="A28" s="10">
        <v>45673</v>
      </c>
      <c r="B28" s="1" t="s">
        <v>62</v>
      </c>
      <c r="C28" s="1" t="s">
        <v>424</v>
      </c>
      <c r="D28" s="1" t="s">
        <v>196</v>
      </c>
      <c r="E28" s="1">
        <v>11</v>
      </c>
      <c r="F28" s="11">
        <v>85000</v>
      </c>
      <c r="G28" s="13">
        <f t="shared" si="0"/>
        <v>935000</v>
      </c>
      <c r="H28" s="1" t="s">
        <v>412</v>
      </c>
      <c r="I28" s="14" t="s">
        <v>225</v>
      </c>
      <c r="O28" s="9"/>
    </row>
    <row r="29" spans="1:15" x14ac:dyDescent="0.25">
      <c r="A29" s="10">
        <v>45787</v>
      </c>
      <c r="B29" s="1" t="s">
        <v>62</v>
      </c>
      <c r="C29" s="1" t="s">
        <v>423</v>
      </c>
      <c r="D29" s="1" t="s">
        <v>421</v>
      </c>
      <c r="E29" s="1">
        <v>17</v>
      </c>
      <c r="F29" s="11">
        <v>65000</v>
      </c>
      <c r="G29" s="13">
        <f t="shared" si="0"/>
        <v>1105000</v>
      </c>
      <c r="H29" s="1" t="s">
        <v>102</v>
      </c>
      <c r="I29" s="14" t="s">
        <v>418</v>
      </c>
      <c r="O29" s="9"/>
    </row>
    <row r="30" spans="1:15" x14ac:dyDescent="0.25">
      <c r="A30" s="10">
        <v>45689</v>
      </c>
      <c r="B30" s="1" t="s">
        <v>8</v>
      </c>
      <c r="C30" s="1" t="s">
        <v>427</v>
      </c>
      <c r="D30" s="1" t="s">
        <v>144</v>
      </c>
      <c r="E30" s="1">
        <v>15</v>
      </c>
      <c r="F30" s="11">
        <v>350000</v>
      </c>
      <c r="G30" s="13">
        <f t="shared" si="0"/>
        <v>5250000</v>
      </c>
      <c r="H30" s="1" t="s">
        <v>410</v>
      </c>
      <c r="I30" s="14" t="s">
        <v>419</v>
      </c>
      <c r="O30" s="9"/>
    </row>
    <row r="31" spans="1:15" x14ac:dyDescent="0.25">
      <c r="A31" s="10">
        <v>45694</v>
      </c>
      <c r="B31" s="1" t="s">
        <v>51</v>
      </c>
      <c r="C31" s="1" t="s">
        <v>427</v>
      </c>
      <c r="D31" s="1" t="s">
        <v>144</v>
      </c>
      <c r="E31" s="1">
        <v>8</v>
      </c>
      <c r="F31" s="11">
        <v>350000</v>
      </c>
      <c r="G31" s="13">
        <f t="shared" si="0"/>
        <v>2800000</v>
      </c>
      <c r="H31" s="1" t="s">
        <v>156</v>
      </c>
      <c r="I31" s="14" t="s">
        <v>225</v>
      </c>
      <c r="O31" s="9"/>
    </row>
    <row r="32" spans="1:15" x14ac:dyDescent="0.25">
      <c r="A32" s="10">
        <v>45825</v>
      </c>
      <c r="B32" s="1" t="s">
        <v>51</v>
      </c>
      <c r="C32" s="1" t="s">
        <v>427</v>
      </c>
      <c r="D32" s="1" t="s">
        <v>144</v>
      </c>
      <c r="E32" s="1">
        <v>14</v>
      </c>
      <c r="F32" s="11">
        <v>350000</v>
      </c>
      <c r="G32" s="13">
        <f t="shared" si="0"/>
        <v>4900000</v>
      </c>
      <c r="H32" s="1" t="s">
        <v>102</v>
      </c>
      <c r="I32" s="14" t="s">
        <v>413</v>
      </c>
      <c r="O32" s="9"/>
    </row>
    <row r="33" spans="1:15" x14ac:dyDescent="0.25">
      <c r="A33" s="10">
        <v>45666</v>
      </c>
      <c r="B33" s="1" t="s">
        <v>87</v>
      </c>
      <c r="C33" s="1" t="s">
        <v>92</v>
      </c>
      <c r="D33" s="1" t="s">
        <v>18</v>
      </c>
      <c r="E33" s="1">
        <v>12</v>
      </c>
      <c r="F33" s="11">
        <v>150000</v>
      </c>
      <c r="G33" s="13">
        <f t="shared" si="0"/>
        <v>1800000</v>
      </c>
      <c r="H33" s="1" t="s">
        <v>274</v>
      </c>
      <c r="I33" s="14" t="s">
        <v>55</v>
      </c>
      <c r="O33" s="9"/>
    </row>
    <row r="34" spans="1:15" x14ac:dyDescent="0.25">
      <c r="A34" s="10">
        <v>45837</v>
      </c>
      <c r="B34" s="1" t="s">
        <v>62</v>
      </c>
      <c r="C34" s="1" t="s">
        <v>422</v>
      </c>
      <c r="D34" s="1" t="s">
        <v>97</v>
      </c>
      <c r="E34" s="1">
        <v>8</v>
      </c>
      <c r="F34" s="11">
        <v>175000</v>
      </c>
      <c r="G34" s="13">
        <f t="shared" si="0"/>
        <v>1400000</v>
      </c>
      <c r="H34" s="1" t="s">
        <v>156</v>
      </c>
      <c r="I34" s="14" t="s">
        <v>55</v>
      </c>
      <c r="O34" s="9"/>
    </row>
    <row r="35" spans="1:15" x14ac:dyDescent="0.25">
      <c r="A35" s="10">
        <v>45735</v>
      </c>
      <c r="B35" s="1" t="s">
        <v>8</v>
      </c>
      <c r="C35" s="1" t="s">
        <v>92</v>
      </c>
      <c r="D35" s="1" t="s">
        <v>18</v>
      </c>
      <c r="E35" s="1">
        <v>6</v>
      </c>
      <c r="F35" s="11">
        <v>150000</v>
      </c>
      <c r="G35" s="13">
        <f t="shared" si="0"/>
        <v>900000</v>
      </c>
      <c r="H35" s="1" t="s">
        <v>156</v>
      </c>
      <c r="I35" s="14" t="s">
        <v>225</v>
      </c>
      <c r="O35" s="9"/>
    </row>
    <row r="36" spans="1:15" x14ac:dyDescent="0.25">
      <c r="A36" s="10">
        <v>45694</v>
      </c>
      <c r="B36" s="1" t="s">
        <v>51</v>
      </c>
      <c r="C36" s="1" t="s">
        <v>104</v>
      </c>
      <c r="D36" s="1" t="s">
        <v>105</v>
      </c>
      <c r="E36" s="1">
        <v>20</v>
      </c>
      <c r="F36" s="11">
        <v>250000</v>
      </c>
      <c r="G36" s="13">
        <f t="shared" si="0"/>
        <v>5000000</v>
      </c>
      <c r="H36" s="1" t="s">
        <v>156</v>
      </c>
      <c r="I36" s="14" t="s">
        <v>66</v>
      </c>
      <c r="O36" s="9"/>
    </row>
    <row r="37" spans="1:15" x14ac:dyDescent="0.25">
      <c r="A37" s="10">
        <v>45753</v>
      </c>
      <c r="B37" s="1" t="s">
        <v>8</v>
      </c>
      <c r="C37" s="1" t="s">
        <v>423</v>
      </c>
      <c r="D37" s="1" t="s">
        <v>421</v>
      </c>
      <c r="E37" s="1">
        <v>12</v>
      </c>
      <c r="F37" s="11">
        <v>65000</v>
      </c>
      <c r="G37" s="13">
        <f t="shared" si="0"/>
        <v>780000</v>
      </c>
      <c r="H37" s="1" t="s">
        <v>156</v>
      </c>
      <c r="I37" s="14" t="s">
        <v>115</v>
      </c>
      <c r="O37" s="9"/>
    </row>
    <row r="38" spans="1:15" x14ac:dyDescent="0.25">
      <c r="A38" s="10">
        <v>45695</v>
      </c>
      <c r="B38" s="1" t="s">
        <v>8</v>
      </c>
      <c r="C38" s="1" t="s">
        <v>423</v>
      </c>
      <c r="D38" s="1" t="s">
        <v>421</v>
      </c>
      <c r="E38" s="1">
        <v>4</v>
      </c>
      <c r="F38" s="11">
        <v>65000</v>
      </c>
      <c r="G38" s="13">
        <f t="shared" si="0"/>
        <v>260000</v>
      </c>
      <c r="H38" s="1" t="s">
        <v>379</v>
      </c>
      <c r="I38" s="14" t="s">
        <v>413</v>
      </c>
      <c r="O38" s="9"/>
    </row>
    <row r="39" spans="1:15" x14ac:dyDescent="0.25">
      <c r="A39" s="10">
        <v>45723</v>
      </c>
      <c r="B39" s="1" t="s">
        <v>87</v>
      </c>
      <c r="C39" s="1" t="s">
        <v>422</v>
      </c>
      <c r="D39" s="1" t="s">
        <v>97</v>
      </c>
      <c r="E39" s="1">
        <v>18</v>
      </c>
      <c r="F39" s="11">
        <v>175000</v>
      </c>
      <c r="G39" s="13">
        <f t="shared" si="0"/>
        <v>3150000</v>
      </c>
      <c r="H39" s="1" t="s">
        <v>412</v>
      </c>
      <c r="I39" s="14" t="s">
        <v>415</v>
      </c>
      <c r="O39" s="9"/>
    </row>
    <row r="40" spans="1:15" x14ac:dyDescent="0.25">
      <c r="A40" s="10">
        <v>45784</v>
      </c>
      <c r="B40" s="1" t="s">
        <v>62</v>
      </c>
      <c r="C40" s="1" t="s">
        <v>428</v>
      </c>
      <c r="D40" s="1" t="s">
        <v>18</v>
      </c>
      <c r="E40" s="1">
        <v>10</v>
      </c>
      <c r="F40" s="11">
        <v>180000</v>
      </c>
      <c r="G40" s="13">
        <f t="shared" si="0"/>
        <v>1800000</v>
      </c>
      <c r="H40" s="1" t="s">
        <v>379</v>
      </c>
      <c r="I40" s="14" t="s">
        <v>295</v>
      </c>
      <c r="O40" s="9"/>
    </row>
    <row r="41" spans="1:15" x14ac:dyDescent="0.25">
      <c r="A41" s="10">
        <v>45838</v>
      </c>
      <c r="B41" s="1" t="s">
        <v>87</v>
      </c>
      <c r="C41" s="1" t="s">
        <v>429</v>
      </c>
      <c r="D41" s="1" t="s">
        <v>421</v>
      </c>
      <c r="E41" s="1">
        <v>10</v>
      </c>
      <c r="F41" s="11">
        <v>65000</v>
      </c>
      <c r="G41" s="13">
        <f t="shared" si="0"/>
        <v>650000</v>
      </c>
      <c r="H41" s="1" t="s">
        <v>409</v>
      </c>
      <c r="I41" s="14" t="s">
        <v>16</v>
      </c>
      <c r="O41" s="9"/>
    </row>
    <row r="42" spans="1:15" x14ac:dyDescent="0.25">
      <c r="A42" s="10">
        <v>45713</v>
      </c>
      <c r="B42" s="1" t="s">
        <v>62</v>
      </c>
      <c r="C42" s="1" t="s">
        <v>92</v>
      </c>
      <c r="D42" s="1" t="s">
        <v>18</v>
      </c>
      <c r="E42" s="1">
        <v>3</v>
      </c>
      <c r="F42" s="11">
        <v>150000</v>
      </c>
      <c r="G42" s="13">
        <f t="shared" si="0"/>
        <v>450000</v>
      </c>
      <c r="H42" s="1" t="s">
        <v>379</v>
      </c>
      <c r="I42" s="14" t="s">
        <v>413</v>
      </c>
      <c r="O42" s="9"/>
    </row>
    <row r="43" spans="1:15" x14ac:dyDescent="0.25">
      <c r="A43" s="10">
        <v>45670</v>
      </c>
      <c r="B43" s="1" t="s">
        <v>8</v>
      </c>
      <c r="C43" s="1" t="s">
        <v>428</v>
      </c>
      <c r="D43" s="1" t="s">
        <v>18</v>
      </c>
      <c r="E43" s="1">
        <v>8</v>
      </c>
      <c r="F43" s="11">
        <v>180000</v>
      </c>
      <c r="G43" s="13">
        <f t="shared" si="0"/>
        <v>1440000</v>
      </c>
      <c r="H43" s="1" t="s">
        <v>65</v>
      </c>
      <c r="I43" s="14" t="s">
        <v>66</v>
      </c>
      <c r="O43" s="9"/>
    </row>
    <row r="44" spans="1:15" x14ac:dyDescent="0.25">
      <c r="A44" s="10">
        <v>45823</v>
      </c>
      <c r="B44" s="1" t="s">
        <v>8</v>
      </c>
      <c r="C44" s="1" t="s">
        <v>104</v>
      </c>
      <c r="D44" s="1" t="s">
        <v>105</v>
      </c>
      <c r="E44" s="1">
        <v>3</v>
      </c>
      <c r="F44" s="11">
        <v>250000</v>
      </c>
      <c r="G44" s="13">
        <f t="shared" si="0"/>
        <v>750000</v>
      </c>
      <c r="H44" s="1" t="s">
        <v>379</v>
      </c>
      <c r="I44" s="14" t="s">
        <v>295</v>
      </c>
      <c r="O44" s="9"/>
    </row>
    <row r="45" spans="1:15" x14ac:dyDescent="0.25">
      <c r="A45" s="10">
        <v>45716</v>
      </c>
      <c r="B45" s="1" t="s">
        <v>87</v>
      </c>
      <c r="C45" s="1" t="s">
        <v>424</v>
      </c>
      <c r="D45" s="1" t="s">
        <v>196</v>
      </c>
      <c r="E45" s="1">
        <v>18</v>
      </c>
      <c r="F45" s="11">
        <v>85000</v>
      </c>
      <c r="G45" s="13">
        <f t="shared" si="0"/>
        <v>1530000</v>
      </c>
      <c r="H45" s="1" t="s">
        <v>411</v>
      </c>
      <c r="I45" s="14" t="s">
        <v>55</v>
      </c>
      <c r="O45" s="9"/>
    </row>
    <row r="46" spans="1:15" x14ac:dyDescent="0.25">
      <c r="A46" s="10">
        <v>45707</v>
      </c>
      <c r="B46" s="1" t="s">
        <v>51</v>
      </c>
      <c r="C46" s="1" t="s">
        <v>92</v>
      </c>
      <c r="D46" s="1" t="s">
        <v>18</v>
      </c>
      <c r="E46" s="1">
        <v>9</v>
      </c>
      <c r="F46" s="11">
        <v>150000</v>
      </c>
      <c r="G46" s="13">
        <f t="shared" si="0"/>
        <v>1350000</v>
      </c>
      <c r="H46" s="1" t="s">
        <v>379</v>
      </c>
      <c r="I46" s="14" t="s">
        <v>418</v>
      </c>
      <c r="O46" s="9"/>
    </row>
    <row r="47" spans="1:15" x14ac:dyDescent="0.25">
      <c r="A47" s="10">
        <v>45719</v>
      </c>
      <c r="B47" s="1" t="s">
        <v>87</v>
      </c>
      <c r="C47" s="1" t="s">
        <v>92</v>
      </c>
      <c r="D47" s="1" t="s">
        <v>18</v>
      </c>
      <c r="E47" s="1">
        <v>18</v>
      </c>
      <c r="F47" s="11">
        <v>150000</v>
      </c>
      <c r="G47" s="13">
        <f t="shared" si="0"/>
        <v>2700000</v>
      </c>
      <c r="H47" s="1" t="s">
        <v>274</v>
      </c>
      <c r="I47" s="14" t="s">
        <v>55</v>
      </c>
      <c r="O47" s="9"/>
    </row>
    <row r="48" spans="1:15" x14ac:dyDescent="0.25">
      <c r="A48" s="10">
        <v>45748</v>
      </c>
      <c r="B48" s="1" t="s">
        <v>51</v>
      </c>
      <c r="C48" s="1" t="s">
        <v>92</v>
      </c>
      <c r="D48" s="1" t="s">
        <v>18</v>
      </c>
      <c r="E48" s="1">
        <v>11</v>
      </c>
      <c r="F48" s="11">
        <v>150000</v>
      </c>
      <c r="G48" s="13">
        <f t="shared" si="0"/>
        <v>1650000</v>
      </c>
      <c r="H48" s="1" t="s">
        <v>379</v>
      </c>
      <c r="I48" s="14" t="s">
        <v>295</v>
      </c>
      <c r="O48" s="9"/>
    </row>
    <row r="49" spans="1:15" x14ac:dyDescent="0.25">
      <c r="A49" s="10">
        <v>45754</v>
      </c>
      <c r="B49" s="1" t="s">
        <v>8</v>
      </c>
      <c r="C49" s="1" t="s">
        <v>427</v>
      </c>
      <c r="D49" s="1" t="s">
        <v>144</v>
      </c>
      <c r="E49" s="1">
        <v>4</v>
      </c>
      <c r="F49" s="11">
        <v>350000</v>
      </c>
      <c r="G49" s="13">
        <f t="shared" si="0"/>
        <v>1400000</v>
      </c>
      <c r="H49" s="1" t="s">
        <v>412</v>
      </c>
      <c r="I49" s="14" t="s">
        <v>417</v>
      </c>
      <c r="O49" s="9"/>
    </row>
    <row r="50" spans="1:15" x14ac:dyDescent="0.25">
      <c r="A50" s="10">
        <v>45714</v>
      </c>
      <c r="B50" s="1" t="s">
        <v>8</v>
      </c>
      <c r="C50" s="1" t="s">
        <v>92</v>
      </c>
      <c r="D50" s="1" t="s">
        <v>18</v>
      </c>
      <c r="E50" s="1">
        <v>19</v>
      </c>
      <c r="F50" s="11">
        <v>150000</v>
      </c>
      <c r="G50" s="13">
        <f t="shared" si="0"/>
        <v>2850000</v>
      </c>
      <c r="H50" s="1" t="s">
        <v>408</v>
      </c>
      <c r="I50" s="14" t="s">
        <v>418</v>
      </c>
      <c r="O50" s="9"/>
    </row>
    <row r="51" spans="1:15" x14ac:dyDescent="0.25">
      <c r="A51" s="10">
        <v>45809</v>
      </c>
      <c r="B51" s="1" t="s">
        <v>87</v>
      </c>
      <c r="C51" s="1" t="s">
        <v>424</v>
      </c>
      <c r="D51" s="1" t="s">
        <v>196</v>
      </c>
      <c r="E51" s="1">
        <v>7</v>
      </c>
      <c r="F51" s="11">
        <v>85000</v>
      </c>
      <c r="G51" s="13">
        <f t="shared" si="0"/>
        <v>595000</v>
      </c>
      <c r="H51" s="1" t="s">
        <v>65</v>
      </c>
      <c r="I51" s="14" t="s">
        <v>415</v>
      </c>
      <c r="O51" s="9"/>
    </row>
    <row r="52" spans="1:15" x14ac:dyDescent="0.25">
      <c r="A52" s="10">
        <v>45671</v>
      </c>
      <c r="B52" s="1" t="s">
        <v>51</v>
      </c>
      <c r="C52" s="1" t="s">
        <v>423</v>
      </c>
      <c r="D52" s="1" t="s">
        <v>421</v>
      </c>
      <c r="E52" s="1">
        <v>13</v>
      </c>
      <c r="F52" s="11">
        <v>65000</v>
      </c>
      <c r="G52" s="13">
        <f t="shared" si="0"/>
        <v>845000</v>
      </c>
      <c r="H52" s="1" t="s">
        <v>274</v>
      </c>
      <c r="I52" s="14" t="s">
        <v>225</v>
      </c>
      <c r="O52" s="9"/>
    </row>
    <row r="53" spans="1:15" x14ac:dyDescent="0.25">
      <c r="A53" s="10">
        <v>45710</v>
      </c>
      <c r="B53" s="1" t="s">
        <v>87</v>
      </c>
      <c r="C53" s="1" t="s">
        <v>423</v>
      </c>
      <c r="D53" s="1" t="s">
        <v>421</v>
      </c>
      <c r="E53" s="1">
        <v>18</v>
      </c>
      <c r="F53" s="11">
        <v>65000</v>
      </c>
      <c r="G53" s="13">
        <f t="shared" si="0"/>
        <v>1170000</v>
      </c>
      <c r="H53" s="1" t="s">
        <v>412</v>
      </c>
      <c r="I53" s="14" t="s">
        <v>417</v>
      </c>
      <c r="O53" s="9"/>
    </row>
    <row r="54" spans="1:15" x14ac:dyDescent="0.25">
      <c r="A54" s="10">
        <v>45740</v>
      </c>
      <c r="B54" s="1" t="s">
        <v>51</v>
      </c>
      <c r="C54" s="1" t="s">
        <v>423</v>
      </c>
      <c r="D54" s="1" t="s">
        <v>421</v>
      </c>
      <c r="E54" s="1">
        <v>5</v>
      </c>
      <c r="F54" s="11">
        <v>65000</v>
      </c>
      <c r="G54" s="13">
        <f t="shared" si="0"/>
        <v>325000</v>
      </c>
      <c r="H54" s="1" t="s">
        <v>65</v>
      </c>
      <c r="I54" s="14" t="s">
        <v>418</v>
      </c>
      <c r="O54" s="9"/>
    </row>
    <row r="55" spans="1:15" x14ac:dyDescent="0.25">
      <c r="A55" s="10">
        <v>45684</v>
      </c>
      <c r="B55" s="1" t="s">
        <v>8</v>
      </c>
      <c r="C55" s="1" t="s">
        <v>427</v>
      </c>
      <c r="D55" s="1" t="s">
        <v>144</v>
      </c>
      <c r="E55" s="1">
        <v>13</v>
      </c>
      <c r="F55" s="11">
        <v>350000</v>
      </c>
      <c r="G55" s="13">
        <f t="shared" si="0"/>
        <v>4550000</v>
      </c>
      <c r="H55" s="1" t="s">
        <v>102</v>
      </c>
      <c r="I55" s="14" t="s">
        <v>225</v>
      </c>
      <c r="O55" s="9"/>
    </row>
    <row r="56" spans="1:15" x14ac:dyDescent="0.25">
      <c r="A56" s="10">
        <v>45661</v>
      </c>
      <c r="B56" s="1" t="s">
        <v>51</v>
      </c>
      <c r="C56" s="1" t="s">
        <v>427</v>
      </c>
      <c r="D56" s="1" t="s">
        <v>144</v>
      </c>
      <c r="E56" s="1">
        <v>19</v>
      </c>
      <c r="F56" s="11">
        <v>350000</v>
      </c>
      <c r="G56" s="13">
        <f t="shared" si="0"/>
        <v>6650000</v>
      </c>
      <c r="H56" s="1" t="s">
        <v>411</v>
      </c>
      <c r="I56" s="14" t="s">
        <v>417</v>
      </c>
      <c r="O56" s="9"/>
    </row>
    <row r="57" spans="1:15" x14ac:dyDescent="0.25">
      <c r="A57" s="10">
        <v>45724</v>
      </c>
      <c r="B57" s="1" t="s">
        <v>62</v>
      </c>
      <c r="C57" s="1" t="s">
        <v>428</v>
      </c>
      <c r="D57" s="1" t="s">
        <v>18</v>
      </c>
      <c r="E57" s="1">
        <v>9</v>
      </c>
      <c r="F57" s="11">
        <v>180000</v>
      </c>
      <c r="G57" s="13">
        <f t="shared" si="0"/>
        <v>1620000</v>
      </c>
      <c r="H57" s="1" t="s">
        <v>65</v>
      </c>
      <c r="I57" s="14" t="s">
        <v>414</v>
      </c>
      <c r="O57" s="9"/>
    </row>
    <row r="58" spans="1:15" x14ac:dyDescent="0.25">
      <c r="A58" s="10">
        <v>45680</v>
      </c>
      <c r="B58" s="1" t="s">
        <v>87</v>
      </c>
      <c r="C58" s="1" t="s">
        <v>92</v>
      </c>
      <c r="D58" s="1" t="s">
        <v>18</v>
      </c>
      <c r="E58" s="1">
        <v>10</v>
      </c>
      <c r="F58" s="11">
        <v>150000</v>
      </c>
      <c r="G58" s="13">
        <f t="shared" si="0"/>
        <v>1500000</v>
      </c>
      <c r="H58" s="1" t="s">
        <v>102</v>
      </c>
      <c r="I58" s="14" t="s">
        <v>115</v>
      </c>
      <c r="O58" s="9"/>
    </row>
    <row r="59" spans="1:15" x14ac:dyDescent="0.25">
      <c r="A59" s="10">
        <v>45673</v>
      </c>
      <c r="B59" s="1" t="s">
        <v>87</v>
      </c>
      <c r="C59" s="1" t="s">
        <v>424</v>
      </c>
      <c r="D59" s="1" t="s">
        <v>196</v>
      </c>
      <c r="E59" s="1">
        <v>10</v>
      </c>
      <c r="F59" s="11">
        <v>85000</v>
      </c>
      <c r="G59" s="13">
        <f t="shared" si="0"/>
        <v>850000</v>
      </c>
      <c r="H59" s="1" t="s">
        <v>65</v>
      </c>
      <c r="I59" s="14" t="s">
        <v>418</v>
      </c>
      <c r="O59" s="9"/>
    </row>
    <row r="60" spans="1:15" x14ac:dyDescent="0.25">
      <c r="A60" s="10">
        <v>45693</v>
      </c>
      <c r="B60" s="1" t="s">
        <v>8</v>
      </c>
      <c r="C60" s="1" t="s">
        <v>104</v>
      </c>
      <c r="D60" s="1" t="s">
        <v>105</v>
      </c>
      <c r="E60" s="1">
        <v>5</v>
      </c>
      <c r="F60" s="11">
        <v>250000</v>
      </c>
      <c r="G60" s="13">
        <f t="shared" si="0"/>
        <v>1250000</v>
      </c>
      <c r="H60" s="1" t="s">
        <v>65</v>
      </c>
      <c r="I60" s="14" t="s">
        <v>419</v>
      </c>
      <c r="O60" s="9"/>
    </row>
    <row r="61" spans="1:15" x14ac:dyDescent="0.25">
      <c r="A61" s="10">
        <v>45802</v>
      </c>
      <c r="B61" s="1" t="s">
        <v>87</v>
      </c>
      <c r="C61" s="1" t="s">
        <v>92</v>
      </c>
      <c r="D61" s="1" t="s">
        <v>18</v>
      </c>
      <c r="E61" s="1">
        <v>1</v>
      </c>
      <c r="F61" s="11">
        <v>150000</v>
      </c>
      <c r="G61" s="13">
        <f t="shared" si="0"/>
        <v>150000</v>
      </c>
      <c r="H61" s="1" t="s">
        <v>412</v>
      </c>
      <c r="I61" s="14" t="s">
        <v>16</v>
      </c>
      <c r="O61" s="9"/>
    </row>
    <row r="62" spans="1:15" x14ac:dyDescent="0.25">
      <c r="A62" s="10">
        <v>45663</v>
      </c>
      <c r="B62" s="1" t="s">
        <v>8</v>
      </c>
      <c r="C62" s="1" t="s">
        <v>92</v>
      </c>
      <c r="D62" s="1" t="s">
        <v>18</v>
      </c>
      <c r="E62" s="1">
        <v>20</v>
      </c>
      <c r="F62" s="11">
        <v>150000</v>
      </c>
      <c r="G62" s="13">
        <f t="shared" si="0"/>
        <v>3000000</v>
      </c>
      <c r="H62" s="1" t="s">
        <v>65</v>
      </c>
      <c r="I62" s="14" t="s">
        <v>416</v>
      </c>
      <c r="O62" s="9"/>
    </row>
    <row r="63" spans="1:15" x14ac:dyDescent="0.25">
      <c r="A63" s="10">
        <v>45694</v>
      </c>
      <c r="B63" s="1" t="s">
        <v>8</v>
      </c>
      <c r="C63" s="1" t="s">
        <v>427</v>
      </c>
      <c r="D63" s="1" t="s">
        <v>144</v>
      </c>
      <c r="E63" s="1">
        <v>11</v>
      </c>
      <c r="F63" s="11">
        <v>350000</v>
      </c>
      <c r="G63" s="13">
        <f t="shared" si="0"/>
        <v>3850000</v>
      </c>
      <c r="H63" s="1" t="s">
        <v>102</v>
      </c>
      <c r="I63" s="14" t="s">
        <v>420</v>
      </c>
      <c r="O63" s="9"/>
    </row>
    <row r="64" spans="1:15" x14ac:dyDescent="0.25">
      <c r="A64" s="10">
        <v>45671</v>
      </c>
      <c r="B64" s="1" t="s">
        <v>87</v>
      </c>
      <c r="C64" s="1" t="s">
        <v>104</v>
      </c>
      <c r="D64" s="1" t="s">
        <v>105</v>
      </c>
      <c r="E64" s="1">
        <v>14</v>
      </c>
      <c r="F64" s="11">
        <v>250000</v>
      </c>
      <c r="G64" s="13">
        <f t="shared" si="0"/>
        <v>3500000</v>
      </c>
      <c r="H64" s="1" t="s">
        <v>102</v>
      </c>
      <c r="I64" s="14" t="s">
        <v>295</v>
      </c>
      <c r="O64" s="9"/>
    </row>
    <row r="65" spans="1:15" x14ac:dyDescent="0.25">
      <c r="A65" s="10">
        <v>45779</v>
      </c>
      <c r="B65" s="1" t="s">
        <v>51</v>
      </c>
      <c r="C65" s="1" t="s">
        <v>92</v>
      </c>
      <c r="D65" s="1" t="s">
        <v>18</v>
      </c>
      <c r="E65" s="1">
        <v>3</v>
      </c>
      <c r="F65" s="11">
        <v>150000</v>
      </c>
      <c r="G65" s="13">
        <f t="shared" si="0"/>
        <v>450000</v>
      </c>
      <c r="H65" s="1" t="s">
        <v>65</v>
      </c>
      <c r="I65" s="14" t="s">
        <v>415</v>
      </c>
      <c r="O65" s="9"/>
    </row>
    <row r="66" spans="1:15" x14ac:dyDescent="0.25">
      <c r="A66" s="10">
        <v>45825</v>
      </c>
      <c r="B66" s="1" t="s">
        <v>87</v>
      </c>
      <c r="C66" s="1" t="s">
        <v>424</v>
      </c>
      <c r="D66" s="1" t="s">
        <v>196</v>
      </c>
      <c r="E66" s="1">
        <v>6</v>
      </c>
      <c r="F66" s="11">
        <v>85000</v>
      </c>
      <c r="G66" s="13">
        <f t="shared" si="0"/>
        <v>510000</v>
      </c>
      <c r="H66" s="1" t="s">
        <v>274</v>
      </c>
      <c r="I66" s="14" t="s">
        <v>416</v>
      </c>
      <c r="O66" s="9"/>
    </row>
    <row r="67" spans="1:15" x14ac:dyDescent="0.25">
      <c r="A67" s="10">
        <v>45670</v>
      </c>
      <c r="B67" s="1" t="s">
        <v>51</v>
      </c>
      <c r="C67" s="1" t="s">
        <v>427</v>
      </c>
      <c r="D67" s="1" t="s">
        <v>144</v>
      </c>
      <c r="E67" s="1">
        <v>15</v>
      </c>
      <c r="F67" s="11">
        <v>350000</v>
      </c>
      <c r="G67" s="13">
        <f t="shared" ref="G67:G101" si="1">E67*F67</f>
        <v>5250000</v>
      </c>
      <c r="H67" s="1" t="s">
        <v>102</v>
      </c>
      <c r="I67" s="14" t="s">
        <v>420</v>
      </c>
      <c r="O67" s="9"/>
    </row>
    <row r="68" spans="1:15" x14ac:dyDescent="0.25">
      <c r="A68" s="10">
        <v>45810</v>
      </c>
      <c r="B68" s="1" t="s">
        <v>62</v>
      </c>
      <c r="C68" s="1" t="s">
        <v>92</v>
      </c>
      <c r="D68" s="1" t="s">
        <v>18</v>
      </c>
      <c r="E68" s="1">
        <v>16</v>
      </c>
      <c r="F68" s="11">
        <v>150000</v>
      </c>
      <c r="G68" s="13">
        <f t="shared" si="1"/>
        <v>2400000</v>
      </c>
      <c r="H68" s="1" t="s">
        <v>411</v>
      </c>
      <c r="I68" s="14" t="s">
        <v>295</v>
      </c>
      <c r="O68" s="9"/>
    </row>
    <row r="69" spans="1:15" x14ac:dyDescent="0.25">
      <c r="A69" s="10">
        <v>45704</v>
      </c>
      <c r="B69" s="1" t="s">
        <v>87</v>
      </c>
      <c r="C69" s="1" t="s">
        <v>422</v>
      </c>
      <c r="D69" s="1" t="s">
        <v>97</v>
      </c>
      <c r="E69" s="1">
        <v>8</v>
      </c>
      <c r="F69" s="11">
        <v>175000</v>
      </c>
      <c r="G69" s="13">
        <f t="shared" si="1"/>
        <v>1400000</v>
      </c>
      <c r="H69" s="1" t="s">
        <v>156</v>
      </c>
      <c r="I69" s="14" t="s">
        <v>415</v>
      </c>
      <c r="O69" s="9"/>
    </row>
    <row r="70" spans="1:15" x14ac:dyDescent="0.25">
      <c r="A70" s="10">
        <v>45761</v>
      </c>
      <c r="B70" s="1" t="s">
        <v>8</v>
      </c>
      <c r="C70" s="1" t="s">
        <v>424</v>
      </c>
      <c r="D70" s="1" t="s">
        <v>196</v>
      </c>
      <c r="E70" s="1">
        <v>2</v>
      </c>
      <c r="F70" s="11">
        <v>85000</v>
      </c>
      <c r="G70" s="13">
        <f t="shared" si="1"/>
        <v>170000</v>
      </c>
      <c r="H70" s="1" t="s">
        <v>102</v>
      </c>
      <c r="I70" s="14" t="s">
        <v>418</v>
      </c>
      <c r="O70" s="9"/>
    </row>
    <row r="71" spans="1:15" x14ac:dyDescent="0.25">
      <c r="A71" s="10">
        <v>45663</v>
      </c>
      <c r="B71" s="1" t="s">
        <v>62</v>
      </c>
      <c r="C71" s="1" t="s">
        <v>104</v>
      </c>
      <c r="D71" s="1" t="s">
        <v>105</v>
      </c>
      <c r="E71" s="1">
        <v>13</v>
      </c>
      <c r="F71" s="11">
        <v>250000</v>
      </c>
      <c r="G71" s="13">
        <f t="shared" si="1"/>
        <v>3250000</v>
      </c>
      <c r="H71" s="1" t="s">
        <v>412</v>
      </c>
      <c r="I71" s="14" t="s">
        <v>295</v>
      </c>
      <c r="O71" s="9"/>
    </row>
    <row r="72" spans="1:15" x14ac:dyDescent="0.25">
      <c r="A72" s="10">
        <v>45668</v>
      </c>
      <c r="B72" s="1" t="s">
        <v>51</v>
      </c>
      <c r="C72" s="1" t="s">
        <v>423</v>
      </c>
      <c r="D72" s="1" t="s">
        <v>421</v>
      </c>
      <c r="E72" s="1">
        <v>11</v>
      </c>
      <c r="F72" s="11">
        <v>65000</v>
      </c>
      <c r="G72" s="13">
        <f t="shared" si="1"/>
        <v>715000</v>
      </c>
      <c r="H72" s="1" t="s">
        <v>102</v>
      </c>
      <c r="I72" s="14" t="s">
        <v>420</v>
      </c>
      <c r="O72" s="9"/>
    </row>
    <row r="73" spans="1:15" x14ac:dyDescent="0.25">
      <c r="A73" s="10">
        <v>45825</v>
      </c>
      <c r="B73" s="1" t="s">
        <v>8</v>
      </c>
      <c r="C73" s="1" t="s">
        <v>427</v>
      </c>
      <c r="D73" s="1" t="s">
        <v>144</v>
      </c>
      <c r="E73" s="1">
        <v>17</v>
      </c>
      <c r="F73" s="11">
        <v>350000</v>
      </c>
      <c r="G73" s="13">
        <f t="shared" si="1"/>
        <v>5950000</v>
      </c>
      <c r="H73" s="1" t="s">
        <v>102</v>
      </c>
      <c r="I73" s="14" t="s">
        <v>66</v>
      </c>
      <c r="O73" s="9"/>
    </row>
    <row r="74" spans="1:15" x14ac:dyDescent="0.25">
      <c r="A74" s="10">
        <v>45671</v>
      </c>
      <c r="B74" s="1" t="s">
        <v>51</v>
      </c>
      <c r="C74" s="1" t="s">
        <v>423</v>
      </c>
      <c r="D74" s="1" t="s">
        <v>421</v>
      </c>
      <c r="E74" s="1">
        <v>18</v>
      </c>
      <c r="F74" s="11">
        <v>65000</v>
      </c>
      <c r="G74" s="13">
        <f t="shared" si="1"/>
        <v>1170000</v>
      </c>
      <c r="H74" s="1" t="s">
        <v>102</v>
      </c>
      <c r="I74" s="14" t="s">
        <v>225</v>
      </c>
      <c r="O74" s="9"/>
    </row>
    <row r="75" spans="1:15" x14ac:dyDescent="0.25">
      <c r="A75" s="10">
        <v>45806</v>
      </c>
      <c r="B75" s="1" t="s">
        <v>87</v>
      </c>
      <c r="C75" s="1" t="s">
        <v>428</v>
      </c>
      <c r="D75" s="1" t="s">
        <v>18</v>
      </c>
      <c r="E75" s="1">
        <v>13</v>
      </c>
      <c r="F75" s="11">
        <v>180000</v>
      </c>
      <c r="G75" s="13">
        <f t="shared" si="1"/>
        <v>2340000</v>
      </c>
      <c r="H75" s="1" t="s">
        <v>412</v>
      </c>
      <c r="I75" s="14" t="s">
        <v>419</v>
      </c>
      <c r="O75" s="9"/>
    </row>
    <row r="76" spans="1:15" x14ac:dyDescent="0.25">
      <c r="A76" s="10">
        <v>45731</v>
      </c>
      <c r="B76" s="1" t="s">
        <v>8</v>
      </c>
      <c r="C76" s="1" t="s">
        <v>422</v>
      </c>
      <c r="D76" s="1" t="s">
        <v>97</v>
      </c>
      <c r="E76" s="1">
        <v>10</v>
      </c>
      <c r="F76" s="11">
        <v>175000</v>
      </c>
      <c r="G76" s="13">
        <f t="shared" si="1"/>
        <v>1750000</v>
      </c>
      <c r="H76" s="1" t="s">
        <v>65</v>
      </c>
      <c r="I76" s="14" t="s">
        <v>417</v>
      </c>
      <c r="O76" s="9"/>
    </row>
    <row r="77" spans="1:15" x14ac:dyDescent="0.25">
      <c r="A77" s="10">
        <v>45742</v>
      </c>
      <c r="B77" s="1" t="s">
        <v>87</v>
      </c>
      <c r="C77" s="1" t="s">
        <v>424</v>
      </c>
      <c r="D77" s="1" t="s">
        <v>196</v>
      </c>
      <c r="E77" s="1">
        <v>5</v>
      </c>
      <c r="F77" s="11">
        <v>85000</v>
      </c>
      <c r="G77" s="13">
        <f t="shared" si="1"/>
        <v>425000</v>
      </c>
      <c r="H77" s="1" t="s">
        <v>412</v>
      </c>
      <c r="I77" s="14" t="s">
        <v>414</v>
      </c>
      <c r="O77" s="9"/>
    </row>
    <row r="78" spans="1:15" x14ac:dyDescent="0.25">
      <c r="A78" s="10">
        <v>45669</v>
      </c>
      <c r="B78" s="1" t="s">
        <v>62</v>
      </c>
      <c r="C78" s="1" t="s">
        <v>427</v>
      </c>
      <c r="D78" s="1" t="s">
        <v>144</v>
      </c>
      <c r="E78" s="1">
        <v>17</v>
      </c>
      <c r="F78" s="11">
        <v>350000</v>
      </c>
      <c r="G78" s="13">
        <f t="shared" si="1"/>
        <v>5950000</v>
      </c>
      <c r="H78" s="1" t="s">
        <v>379</v>
      </c>
      <c r="I78" s="14" t="s">
        <v>416</v>
      </c>
      <c r="O78" s="9"/>
    </row>
    <row r="79" spans="1:15" x14ac:dyDescent="0.25">
      <c r="A79" s="10">
        <v>45680</v>
      </c>
      <c r="B79" s="1" t="s">
        <v>62</v>
      </c>
      <c r="C79" s="1" t="s">
        <v>427</v>
      </c>
      <c r="D79" s="1" t="s">
        <v>144</v>
      </c>
      <c r="E79" s="1">
        <v>13</v>
      </c>
      <c r="F79" s="11">
        <v>350000</v>
      </c>
      <c r="G79" s="13">
        <f t="shared" si="1"/>
        <v>4550000</v>
      </c>
      <c r="H79" s="1" t="s">
        <v>274</v>
      </c>
      <c r="I79" s="14" t="s">
        <v>416</v>
      </c>
      <c r="O79" s="9"/>
    </row>
    <row r="80" spans="1:15" x14ac:dyDescent="0.25">
      <c r="A80" s="10">
        <v>45782</v>
      </c>
      <c r="B80" s="1" t="s">
        <v>62</v>
      </c>
      <c r="C80" s="1" t="s">
        <v>427</v>
      </c>
      <c r="D80" s="1" t="s">
        <v>144</v>
      </c>
      <c r="E80" s="1">
        <v>8</v>
      </c>
      <c r="F80" s="11">
        <v>350000</v>
      </c>
      <c r="G80" s="13">
        <f t="shared" si="1"/>
        <v>2800000</v>
      </c>
      <c r="H80" s="1" t="s">
        <v>411</v>
      </c>
      <c r="I80" s="14" t="s">
        <v>115</v>
      </c>
      <c r="O80" s="9"/>
    </row>
    <row r="81" spans="1:15" x14ac:dyDescent="0.25">
      <c r="A81" s="10">
        <v>45796</v>
      </c>
      <c r="B81" s="1" t="s">
        <v>8</v>
      </c>
      <c r="C81" s="1" t="s">
        <v>424</v>
      </c>
      <c r="D81" s="1" t="s">
        <v>196</v>
      </c>
      <c r="E81" s="1">
        <v>13</v>
      </c>
      <c r="F81" s="11">
        <v>85000</v>
      </c>
      <c r="G81" s="13">
        <f t="shared" si="1"/>
        <v>1105000</v>
      </c>
      <c r="H81" s="1" t="s">
        <v>65</v>
      </c>
      <c r="I81" s="14" t="s">
        <v>115</v>
      </c>
      <c r="O81" s="9"/>
    </row>
    <row r="82" spans="1:15" x14ac:dyDescent="0.25">
      <c r="A82" s="10">
        <v>45751</v>
      </c>
      <c r="B82" s="1" t="s">
        <v>87</v>
      </c>
      <c r="C82" s="1" t="s">
        <v>92</v>
      </c>
      <c r="D82" s="1" t="s">
        <v>18</v>
      </c>
      <c r="E82" s="1">
        <v>17</v>
      </c>
      <c r="F82" s="11">
        <v>150000</v>
      </c>
      <c r="G82" s="13">
        <f t="shared" si="1"/>
        <v>2550000</v>
      </c>
      <c r="H82" s="1" t="s">
        <v>274</v>
      </c>
      <c r="I82" s="14" t="s">
        <v>16</v>
      </c>
      <c r="O82" s="9"/>
    </row>
    <row r="83" spans="1:15" x14ac:dyDescent="0.25">
      <c r="A83" s="10">
        <v>45714</v>
      </c>
      <c r="B83" s="1" t="s">
        <v>8</v>
      </c>
      <c r="C83" s="1" t="s">
        <v>423</v>
      </c>
      <c r="D83" s="1" t="s">
        <v>421</v>
      </c>
      <c r="E83" s="1">
        <v>19</v>
      </c>
      <c r="F83" s="11">
        <v>65000</v>
      </c>
      <c r="G83" s="13">
        <f t="shared" si="1"/>
        <v>1235000</v>
      </c>
      <c r="H83" s="1" t="s">
        <v>412</v>
      </c>
      <c r="I83" s="14" t="s">
        <v>225</v>
      </c>
      <c r="O83" s="9"/>
    </row>
    <row r="84" spans="1:15" x14ac:dyDescent="0.25">
      <c r="A84" s="10">
        <v>45811</v>
      </c>
      <c r="B84" s="1" t="s">
        <v>62</v>
      </c>
      <c r="C84" s="1" t="s">
        <v>92</v>
      </c>
      <c r="D84" s="1" t="s">
        <v>18</v>
      </c>
      <c r="E84" s="1">
        <v>1</v>
      </c>
      <c r="F84" s="11">
        <v>150000</v>
      </c>
      <c r="G84" s="13">
        <f t="shared" si="1"/>
        <v>150000</v>
      </c>
      <c r="H84" s="1" t="s">
        <v>412</v>
      </c>
      <c r="I84" s="14" t="s">
        <v>414</v>
      </c>
      <c r="O84" s="9"/>
    </row>
    <row r="85" spans="1:15" x14ac:dyDescent="0.25">
      <c r="A85" s="10">
        <v>45752</v>
      </c>
      <c r="B85" s="1" t="s">
        <v>87</v>
      </c>
      <c r="C85" s="1" t="s">
        <v>104</v>
      </c>
      <c r="D85" s="1" t="s">
        <v>105</v>
      </c>
      <c r="E85" s="1">
        <v>13</v>
      </c>
      <c r="F85" s="11">
        <v>250000</v>
      </c>
      <c r="G85" s="13">
        <f t="shared" si="1"/>
        <v>3250000</v>
      </c>
      <c r="H85" s="1" t="s">
        <v>102</v>
      </c>
      <c r="I85" s="14" t="s">
        <v>115</v>
      </c>
      <c r="O85" s="9"/>
    </row>
    <row r="86" spans="1:15" x14ac:dyDescent="0.25">
      <c r="A86" s="10">
        <v>45687</v>
      </c>
      <c r="B86" s="1" t="s">
        <v>87</v>
      </c>
      <c r="C86" s="1" t="s">
        <v>423</v>
      </c>
      <c r="D86" s="1" t="s">
        <v>421</v>
      </c>
      <c r="E86" s="1">
        <v>18</v>
      </c>
      <c r="F86" s="11">
        <v>65000</v>
      </c>
      <c r="G86" s="13">
        <f t="shared" si="1"/>
        <v>1170000</v>
      </c>
      <c r="H86" s="1" t="s">
        <v>102</v>
      </c>
      <c r="I86" s="14" t="s">
        <v>413</v>
      </c>
      <c r="O86" s="9"/>
    </row>
    <row r="87" spans="1:15" x14ac:dyDescent="0.25">
      <c r="A87" s="10">
        <v>45688</v>
      </c>
      <c r="B87" s="1" t="s">
        <v>62</v>
      </c>
      <c r="C87" s="1" t="s">
        <v>104</v>
      </c>
      <c r="D87" s="1" t="s">
        <v>105</v>
      </c>
      <c r="E87" s="1">
        <v>20</v>
      </c>
      <c r="F87" s="11">
        <v>250000</v>
      </c>
      <c r="G87" s="13">
        <f t="shared" si="1"/>
        <v>5000000</v>
      </c>
      <c r="H87" s="1" t="s">
        <v>65</v>
      </c>
      <c r="I87" s="14" t="s">
        <v>66</v>
      </c>
      <c r="O87" s="9"/>
    </row>
    <row r="88" spans="1:15" x14ac:dyDescent="0.25">
      <c r="A88" s="10">
        <v>45804</v>
      </c>
      <c r="B88" s="1" t="s">
        <v>87</v>
      </c>
      <c r="C88" s="1" t="s">
        <v>428</v>
      </c>
      <c r="D88" s="1" t="s">
        <v>18</v>
      </c>
      <c r="E88" s="1">
        <v>4</v>
      </c>
      <c r="F88" s="11">
        <v>180000</v>
      </c>
      <c r="G88" s="13">
        <f t="shared" si="1"/>
        <v>720000</v>
      </c>
      <c r="H88" s="1" t="s">
        <v>65</v>
      </c>
      <c r="I88" s="14" t="s">
        <v>16</v>
      </c>
      <c r="O88" s="9"/>
    </row>
    <row r="89" spans="1:15" x14ac:dyDescent="0.25">
      <c r="A89" s="10">
        <v>45755</v>
      </c>
      <c r="B89" s="1" t="s">
        <v>8</v>
      </c>
      <c r="C89" s="1" t="s">
        <v>92</v>
      </c>
      <c r="D89" s="1" t="s">
        <v>18</v>
      </c>
      <c r="E89" s="1">
        <v>5</v>
      </c>
      <c r="F89" s="11">
        <v>150000</v>
      </c>
      <c r="G89" s="13">
        <f t="shared" si="1"/>
        <v>750000</v>
      </c>
      <c r="H89" s="1" t="s">
        <v>102</v>
      </c>
      <c r="I89" s="14" t="s">
        <v>55</v>
      </c>
      <c r="O89" s="9"/>
    </row>
    <row r="90" spans="1:15" x14ac:dyDescent="0.25">
      <c r="A90" s="10">
        <v>45701</v>
      </c>
      <c r="B90" s="1" t="s">
        <v>51</v>
      </c>
      <c r="C90" s="1" t="s">
        <v>104</v>
      </c>
      <c r="D90" s="1" t="s">
        <v>105</v>
      </c>
      <c r="E90" s="1">
        <v>11</v>
      </c>
      <c r="F90" s="11">
        <v>250000</v>
      </c>
      <c r="G90" s="13">
        <f t="shared" si="1"/>
        <v>2750000</v>
      </c>
      <c r="H90" s="1" t="s">
        <v>274</v>
      </c>
      <c r="I90" s="14" t="s">
        <v>66</v>
      </c>
      <c r="O90" s="9"/>
    </row>
    <row r="91" spans="1:15" x14ac:dyDescent="0.25">
      <c r="A91" s="10">
        <v>45725</v>
      </c>
      <c r="B91" s="1" t="s">
        <v>87</v>
      </c>
      <c r="C91" s="1" t="s">
        <v>104</v>
      </c>
      <c r="D91" s="1" t="s">
        <v>105</v>
      </c>
      <c r="E91" s="1">
        <v>20</v>
      </c>
      <c r="F91" s="11">
        <v>250000</v>
      </c>
      <c r="G91" s="13">
        <f t="shared" si="1"/>
        <v>5000000</v>
      </c>
      <c r="H91" s="1" t="s">
        <v>411</v>
      </c>
      <c r="I91" s="14" t="s">
        <v>225</v>
      </c>
      <c r="O91" s="9"/>
    </row>
    <row r="92" spans="1:15" x14ac:dyDescent="0.25">
      <c r="A92" s="10">
        <v>45708</v>
      </c>
      <c r="B92" s="1" t="s">
        <v>51</v>
      </c>
      <c r="C92" s="1" t="s">
        <v>424</v>
      </c>
      <c r="D92" s="1" t="s">
        <v>196</v>
      </c>
      <c r="E92" s="1">
        <v>7</v>
      </c>
      <c r="F92" s="11">
        <v>85000</v>
      </c>
      <c r="G92" s="13">
        <f t="shared" si="1"/>
        <v>595000</v>
      </c>
      <c r="H92" s="1" t="s">
        <v>274</v>
      </c>
      <c r="I92" s="14" t="s">
        <v>225</v>
      </c>
      <c r="O92" s="9"/>
    </row>
    <row r="93" spans="1:15" x14ac:dyDescent="0.25">
      <c r="A93" s="10">
        <v>45707</v>
      </c>
      <c r="B93" s="1" t="s">
        <v>87</v>
      </c>
      <c r="C93" s="1" t="s">
        <v>104</v>
      </c>
      <c r="D93" s="1" t="s">
        <v>105</v>
      </c>
      <c r="E93" s="1">
        <v>5</v>
      </c>
      <c r="F93" s="11">
        <v>250000</v>
      </c>
      <c r="G93" s="13">
        <f t="shared" si="1"/>
        <v>1250000</v>
      </c>
      <c r="H93" s="1" t="s">
        <v>379</v>
      </c>
      <c r="I93" s="14" t="s">
        <v>413</v>
      </c>
      <c r="O93" s="9"/>
    </row>
    <row r="94" spans="1:15" x14ac:dyDescent="0.25">
      <c r="A94" s="10">
        <v>45757</v>
      </c>
      <c r="B94" s="1" t="s">
        <v>87</v>
      </c>
      <c r="C94" s="1" t="s">
        <v>422</v>
      </c>
      <c r="D94" s="1" t="s">
        <v>97</v>
      </c>
      <c r="E94" s="1">
        <v>19</v>
      </c>
      <c r="F94" s="11">
        <v>175000</v>
      </c>
      <c r="G94" s="13">
        <f t="shared" si="1"/>
        <v>3325000</v>
      </c>
      <c r="H94" s="1" t="s">
        <v>379</v>
      </c>
      <c r="I94" s="14" t="s">
        <v>418</v>
      </c>
      <c r="O94" s="9"/>
    </row>
    <row r="95" spans="1:15" x14ac:dyDescent="0.25">
      <c r="A95" s="10">
        <v>45798</v>
      </c>
      <c r="B95" s="1" t="s">
        <v>87</v>
      </c>
      <c r="C95" s="1" t="s">
        <v>427</v>
      </c>
      <c r="D95" s="1" t="s">
        <v>144</v>
      </c>
      <c r="E95" s="1">
        <v>14</v>
      </c>
      <c r="F95" s="11">
        <v>350000</v>
      </c>
      <c r="G95" s="13">
        <f t="shared" si="1"/>
        <v>4900000</v>
      </c>
      <c r="H95" s="1" t="s">
        <v>412</v>
      </c>
      <c r="I95" s="14" t="s">
        <v>16</v>
      </c>
      <c r="O95" s="9"/>
    </row>
    <row r="96" spans="1:15" x14ac:dyDescent="0.25">
      <c r="A96" s="10">
        <v>45834</v>
      </c>
      <c r="B96" s="1" t="s">
        <v>87</v>
      </c>
      <c r="C96" s="1" t="s">
        <v>422</v>
      </c>
      <c r="D96" s="1" t="s">
        <v>97</v>
      </c>
      <c r="E96" s="1">
        <v>20</v>
      </c>
      <c r="F96" s="11">
        <v>175000</v>
      </c>
      <c r="G96" s="13">
        <f t="shared" si="1"/>
        <v>3500000</v>
      </c>
      <c r="H96" s="1" t="s">
        <v>379</v>
      </c>
      <c r="I96" s="14" t="s">
        <v>415</v>
      </c>
      <c r="O96" s="9"/>
    </row>
    <row r="97" spans="1:15" x14ac:dyDescent="0.25">
      <c r="A97" s="10">
        <v>45708</v>
      </c>
      <c r="B97" s="1" t="s">
        <v>8</v>
      </c>
      <c r="C97" s="1" t="s">
        <v>424</v>
      </c>
      <c r="D97" s="1" t="s">
        <v>196</v>
      </c>
      <c r="E97" s="1">
        <v>18</v>
      </c>
      <c r="F97" s="11">
        <v>85000</v>
      </c>
      <c r="G97" s="13">
        <f t="shared" si="1"/>
        <v>1530000</v>
      </c>
      <c r="H97" s="1" t="s">
        <v>156</v>
      </c>
      <c r="I97" s="14" t="s">
        <v>420</v>
      </c>
      <c r="O97" s="9"/>
    </row>
    <row r="98" spans="1:15" x14ac:dyDescent="0.25">
      <c r="A98" s="10">
        <v>45835</v>
      </c>
      <c r="B98" s="1" t="s">
        <v>62</v>
      </c>
      <c r="C98" s="1" t="s">
        <v>422</v>
      </c>
      <c r="D98" s="1" t="s">
        <v>97</v>
      </c>
      <c r="E98" s="1">
        <v>17</v>
      </c>
      <c r="F98" s="11">
        <v>175000</v>
      </c>
      <c r="G98" s="13">
        <f t="shared" si="1"/>
        <v>2975000</v>
      </c>
      <c r="H98" s="1" t="s">
        <v>411</v>
      </c>
      <c r="I98" s="14" t="s">
        <v>416</v>
      </c>
      <c r="O98" s="9"/>
    </row>
    <row r="99" spans="1:15" x14ac:dyDescent="0.25">
      <c r="A99" s="10">
        <v>45693</v>
      </c>
      <c r="B99" s="1" t="s">
        <v>8</v>
      </c>
      <c r="C99" s="1" t="s">
        <v>104</v>
      </c>
      <c r="D99" s="1" t="s">
        <v>105</v>
      </c>
      <c r="E99" s="1">
        <v>20</v>
      </c>
      <c r="F99" s="11">
        <v>250000</v>
      </c>
      <c r="G99" s="13">
        <f t="shared" si="1"/>
        <v>5000000</v>
      </c>
      <c r="H99" s="1" t="s">
        <v>274</v>
      </c>
      <c r="I99" s="14" t="s">
        <v>16</v>
      </c>
      <c r="O99" s="9"/>
    </row>
    <row r="100" spans="1:15" x14ac:dyDescent="0.25">
      <c r="A100" s="10">
        <v>45815</v>
      </c>
      <c r="B100" s="1" t="s">
        <v>8</v>
      </c>
      <c r="C100" s="1" t="s">
        <v>427</v>
      </c>
      <c r="D100" s="1" t="s">
        <v>144</v>
      </c>
      <c r="E100" s="1">
        <v>20</v>
      </c>
      <c r="F100" s="11">
        <v>350000</v>
      </c>
      <c r="G100" s="13">
        <f t="shared" si="1"/>
        <v>7000000</v>
      </c>
      <c r="H100" s="1" t="s">
        <v>156</v>
      </c>
      <c r="I100" s="14" t="s">
        <v>225</v>
      </c>
      <c r="O100" s="9"/>
    </row>
    <row r="101" spans="1:15" x14ac:dyDescent="0.25">
      <c r="A101" s="23">
        <v>45790</v>
      </c>
      <c r="B101" s="19" t="s">
        <v>51</v>
      </c>
      <c r="C101" s="19" t="s">
        <v>92</v>
      </c>
      <c r="D101" s="19" t="s">
        <v>18</v>
      </c>
      <c r="E101" s="19">
        <v>18</v>
      </c>
      <c r="F101" s="20">
        <v>150000</v>
      </c>
      <c r="G101" s="21">
        <f t="shared" si="1"/>
        <v>2700000</v>
      </c>
      <c r="H101" s="19" t="s">
        <v>412</v>
      </c>
      <c r="I101" s="22" t="s">
        <v>55</v>
      </c>
      <c r="O101" s="9"/>
    </row>
  </sheetData>
  <phoneticPr fontId="6" type="noConversion"/>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030DE-4C68-40F2-8E02-70C66846A026}">
  <dimension ref="A1:O8"/>
  <sheetViews>
    <sheetView workbookViewId="0">
      <selection sqref="A1:O8"/>
    </sheetView>
  </sheetViews>
  <sheetFormatPr defaultRowHeight="15" x14ac:dyDescent="0.25"/>
  <cols>
    <col min="2" max="2" width="9.28515625" customWidth="1"/>
    <col min="3" max="3" width="10" customWidth="1"/>
    <col min="4" max="4" width="11" customWidth="1"/>
    <col min="5" max="5" width="12.140625" customWidth="1"/>
    <col min="6" max="6" width="11.85546875" customWidth="1"/>
    <col min="8" max="8" width="11.5703125" customWidth="1"/>
    <col min="9" max="9" width="11.7109375" customWidth="1"/>
    <col min="10" max="10" width="12.5703125" customWidth="1"/>
    <col min="11" max="11" width="21.42578125" customWidth="1"/>
    <col min="12" max="12" width="22.42578125" customWidth="1"/>
    <col min="13" max="13" width="22" customWidth="1"/>
    <col min="14" max="14" width="22.42578125" customWidth="1"/>
    <col min="15" max="15" width="20.7109375" customWidth="1"/>
  </cols>
  <sheetData>
    <row r="1" spans="1:15" x14ac:dyDescent="0.25">
      <c r="A1" t="s">
        <v>0</v>
      </c>
      <c r="B1" t="s">
        <v>1</v>
      </c>
      <c r="C1" t="s">
        <v>2</v>
      </c>
      <c r="D1" t="s">
        <v>3</v>
      </c>
      <c r="E1" t="s">
        <v>4</v>
      </c>
      <c r="F1" t="s">
        <v>5</v>
      </c>
      <c r="G1" t="s">
        <v>450</v>
      </c>
      <c r="H1" t="s">
        <v>6</v>
      </c>
      <c r="I1" t="s">
        <v>7</v>
      </c>
      <c r="J1" t="s">
        <v>452</v>
      </c>
      <c r="K1" t="s">
        <v>438</v>
      </c>
      <c r="L1" t="s">
        <v>439</v>
      </c>
      <c r="M1" t="s">
        <v>442</v>
      </c>
      <c r="N1" t="s">
        <v>440</v>
      </c>
      <c r="O1" t="s">
        <v>441</v>
      </c>
    </row>
    <row r="2" spans="1:15" x14ac:dyDescent="0.25">
      <c r="A2" s="35">
        <v>45835</v>
      </c>
      <c r="B2" t="s">
        <v>62</v>
      </c>
      <c r="C2" t="s">
        <v>422</v>
      </c>
      <c r="D2" t="s">
        <v>97</v>
      </c>
      <c r="E2">
        <v>17</v>
      </c>
      <c r="F2">
        <v>175000</v>
      </c>
      <c r="G2">
        <v>2975000</v>
      </c>
      <c r="H2" t="s">
        <v>411</v>
      </c>
      <c r="I2" t="s">
        <v>416</v>
      </c>
    </row>
    <row r="3" spans="1:15" x14ac:dyDescent="0.25">
      <c r="A3" s="35">
        <v>45680</v>
      </c>
      <c r="B3" t="s">
        <v>62</v>
      </c>
      <c r="C3" t="s">
        <v>427</v>
      </c>
      <c r="D3" t="s">
        <v>144</v>
      </c>
      <c r="E3">
        <v>13</v>
      </c>
      <c r="F3">
        <v>350000</v>
      </c>
      <c r="G3">
        <v>4550000</v>
      </c>
      <c r="H3" t="s">
        <v>274</v>
      </c>
      <c r="I3" t="s">
        <v>416</v>
      </c>
    </row>
    <row r="4" spans="1:15" x14ac:dyDescent="0.25">
      <c r="A4" s="35">
        <v>45669</v>
      </c>
      <c r="B4" t="s">
        <v>62</v>
      </c>
      <c r="C4" t="s">
        <v>427</v>
      </c>
      <c r="D4" t="s">
        <v>144</v>
      </c>
      <c r="E4">
        <v>17</v>
      </c>
      <c r="F4">
        <v>350000</v>
      </c>
      <c r="G4">
        <v>5950000</v>
      </c>
      <c r="H4" t="s">
        <v>379</v>
      </c>
      <c r="I4" t="s">
        <v>416</v>
      </c>
    </row>
    <row r="5" spans="1:15" x14ac:dyDescent="0.25">
      <c r="A5" s="35">
        <v>45825</v>
      </c>
      <c r="B5" t="s">
        <v>87</v>
      </c>
      <c r="C5" t="s">
        <v>424</v>
      </c>
      <c r="D5" t="s">
        <v>196</v>
      </c>
      <c r="E5">
        <v>6</v>
      </c>
      <c r="F5">
        <v>85000</v>
      </c>
      <c r="G5">
        <v>510000</v>
      </c>
      <c r="H5" t="s">
        <v>274</v>
      </c>
      <c r="I5" t="s">
        <v>416</v>
      </c>
    </row>
    <row r="6" spans="1:15" x14ac:dyDescent="0.25">
      <c r="A6" s="35">
        <v>45663</v>
      </c>
      <c r="B6" t="s">
        <v>8</v>
      </c>
      <c r="C6" t="s">
        <v>92</v>
      </c>
      <c r="D6" t="s">
        <v>18</v>
      </c>
      <c r="E6">
        <v>20</v>
      </c>
      <c r="F6">
        <v>150000</v>
      </c>
      <c r="G6">
        <v>3000000</v>
      </c>
      <c r="H6" t="s">
        <v>65</v>
      </c>
      <c r="I6" t="s">
        <v>416</v>
      </c>
    </row>
    <row r="7" spans="1:15" x14ac:dyDescent="0.25">
      <c r="A7" s="35">
        <v>45712</v>
      </c>
      <c r="B7" t="s">
        <v>87</v>
      </c>
      <c r="C7" t="s">
        <v>422</v>
      </c>
      <c r="D7" t="s">
        <v>97</v>
      </c>
      <c r="E7">
        <v>2</v>
      </c>
      <c r="F7">
        <v>175000</v>
      </c>
      <c r="G7">
        <v>350000</v>
      </c>
      <c r="H7" t="s">
        <v>156</v>
      </c>
      <c r="I7" t="s">
        <v>416</v>
      </c>
    </row>
    <row r="8" spans="1:15" x14ac:dyDescent="0.25">
      <c r="A8" s="35">
        <v>45690</v>
      </c>
      <c r="B8" t="s">
        <v>87</v>
      </c>
      <c r="C8" t="s">
        <v>427</v>
      </c>
      <c r="D8" t="s">
        <v>144</v>
      </c>
      <c r="E8">
        <v>18</v>
      </c>
      <c r="F8">
        <v>350000</v>
      </c>
      <c r="G8">
        <v>6300000</v>
      </c>
      <c r="H8" t="s">
        <v>102</v>
      </c>
      <c r="I8" t="s">
        <v>416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1EC2E-0122-4349-BD14-0B62FEF8E91F}">
  <sheetPr>
    <tabColor rgb="FF00B050"/>
  </sheetPr>
  <dimension ref="A1:Q102"/>
  <sheetViews>
    <sheetView topLeftCell="B67" workbookViewId="0">
      <selection activeCell="I75" sqref="I75"/>
    </sheetView>
  </sheetViews>
  <sheetFormatPr defaultRowHeight="15" x14ac:dyDescent="0.25"/>
  <cols>
    <col min="2" max="2" width="13.140625" bestFit="1" customWidth="1"/>
    <col min="3" max="3" width="12.140625" bestFit="1" customWidth="1"/>
    <col min="4" max="4" width="13.140625" bestFit="1" customWidth="1"/>
    <col min="5" max="5" width="14.7109375" bestFit="1" customWidth="1"/>
    <col min="6" max="6" width="13.140625" bestFit="1" customWidth="1"/>
    <col min="7" max="7" width="15.28515625" bestFit="1" customWidth="1"/>
    <col min="8" max="8" width="17.42578125" bestFit="1" customWidth="1"/>
    <col min="9" max="9" width="12.140625" bestFit="1" customWidth="1"/>
    <col min="10" max="10" width="16.140625" bestFit="1" customWidth="1"/>
    <col min="11" max="11" width="15.7109375" bestFit="1" customWidth="1"/>
    <col min="12" max="12" width="16.7109375" bestFit="1" customWidth="1"/>
    <col min="13" max="13" width="13.140625" bestFit="1" customWidth="1"/>
    <col min="14" max="14" width="16.7109375" bestFit="1" customWidth="1"/>
    <col min="15" max="15" width="6.140625" bestFit="1" customWidth="1"/>
    <col min="16" max="16" width="14.140625" bestFit="1" customWidth="1"/>
    <col min="17" max="17" width="12.5703125" bestFit="1" customWidth="1"/>
    <col min="18" max="18" width="11.28515625" bestFit="1" customWidth="1"/>
    <col min="19" max="19" width="6.140625" bestFit="1" customWidth="1"/>
    <col min="20" max="20" width="5.7109375" bestFit="1" customWidth="1"/>
    <col min="21" max="21" width="15.5703125" bestFit="1" customWidth="1"/>
    <col min="22" max="22" width="9.28515625" bestFit="1" customWidth="1"/>
    <col min="23" max="24" width="6.140625" bestFit="1" customWidth="1"/>
    <col min="25" max="25" width="5.7109375" bestFit="1" customWidth="1"/>
    <col min="26" max="26" width="12.28515625" bestFit="1" customWidth="1"/>
    <col min="27" max="27" width="13" bestFit="1" customWidth="1"/>
    <col min="28" max="29" width="6.140625" bestFit="1" customWidth="1"/>
    <col min="30" max="30" width="5.7109375" bestFit="1" customWidth="1"/>
    <col min="31" max="31" width="16.140625" bestFit="1" customWidth="1"/>
    <col min="32" max="32" width="14.140625" bestFit="1" customWidth="1"/>
    <col min="33" max="34" width="6.140625" bestFit="1" customWidth="1"/>
    <col min="35" max="35" width="5.7109375" bestFit="1" customWidth="1"/>
    <col min="36" max="36" width="17.42578125" bestFit="1" customWidth="1"/>
    <col min="37" max="37" width="11.28515625" bestFit="1" customWidth="1"/>
  </cols>
  <sheetData>
    <row r="1" spans="1:17" ht="18.75" x14ac:dyDescent="0.3">
      <c r="A1" s="33" t="s">
        <v>444</v>
      </c>
      <c r="B1" s="33"/>
      <c r="C1" s="33"/>
    </row>
    <row r="2" spans="1:17" x14ac:dyDescent="0.25">
      <c r="B2" s="27" t="s">
        <v>475</v>
      </c>
      <c r="D2" s="27" t="s">
        <v>488</v>
      </c>
      <c r="E2" s="27"/>
      <c r="G2" s="27" t="s">
        <v>454</v>
      </c>
      <c r="H2" s="27"/>
      <c r="J2" s="27" t="s">
        <v>455</v>
      </c>
      <c r="K2" s="27"/>
      <c r="M2" s="27" t="s">
        <v>456</v>
      </c>
      <c r="N2" s="27"/>
      <c r="P2" s="27" t="s">
        <v>457</v>
      </c>
      <c r="Q2" s="27"/>
    </row>
    <row r="3" spans="1:17" x14ac:dyDescent="0.25">
      <c r="B3" t="s">
        <v>451</v>
      </c>
      <c r="D3" s="7" t="s">
        <v>425</v>
      </c>
      <c r="E3" t="s">
        <v>453</v>
      </c>
      <c r="G3" s="7" t="s">
        <v>425</v>
      </c>
      <c r="H3" t="s">
        <v>453</v>
      </c>
      <c r="J3" s="7" t="s">
        <v>425</v>
      </c>
      <c r="K3" t="s">
        <v>453</v>
      </c>
      <c r="M3" s="7" t="s">
        <v>425</v>
      </c>
      <c r="N3" t="s">
        <v>453</v>
      </c>
      <c r="P3" s="7" t="s">
        <v>425</v>
      </c>
      <c r="Q3" t="s">
        <v>453</v>
      </c>
    </row>
    <row r="4" spans="1:17" x14ac:dyDescent="0.25">
      <c r="B4" s="34">
        <v>217575000</v>
      </c>
      <c r="D4" s="8" t="s">
        <v>484</v>
      </c>
      <c r="E4" s="37">
        <v>2100000</v>
      </c>
      <c r="G4" s="8" t="s">
        <v>87</v>
      </c>
      <c r="H4" s="26">
        <v>75120000</v>
      </c>
      <c r="J4" s="8" t="s">
        <v>422</v>
      </c>
      <c r="K4" s="26">
        <v>25550000</v>
      </c>
      <c r="M4" s="8" t="s">
        <v>409</v>
      </c>
      <c r="N4" s="26">
        <v>650000</v>
      </c>
      <c r="P4" s="8" t="s">
        <v>414</v>
      </c>
      <c r="Q4" s="26">
        <v>2195000</v>
      </c>
    </row>
    <row r="5" spans="1:17" x14ac:dyDescent="0.25">
      <c r="D5" s="29" t="s">
        <v>437</v>
      </c>
      <c r="E5" s="36">
        <v>2100000</v>
      </c>
      <c r="G5" s="8" t="s">
        <v>62</v>
      </c>
      <c r="H5" s="26">
        <v>39490000</v>
      </c>
      <c r="J5" s="29" t="s">
        <v>97</v>
      </c>
      <c r="K5" s="26">
        <v>25550000</v>
      </c>
      <c r="M5" s="8" t="s">
        <v>65</v>
      </c>
      <c r="N5" s="26">
        <v>19815000</v>
      </c>
      <c r="P5" s="8" t="s">
        <v>55</v>
      </c>
      <c r="Q5" s="26">
        <v>11480000</v>
      </c>
    </row>
    <row r="6" spans="1:17" x14ac:dyDescent="0.25">
      <c r="D6" s="8" t="s">
        <v>483</v>
      </c>
      <c r="E6" s="34">
        <v>88575000</v>
      </c>
      <c r="G6" s="8" t="s">
        <v>8</v>
      </c>
      <c r="H6" s="26">
        <v>57110000</v>
      </c>
      <c r="J6" s="8" t="s">
        <v>104</v>
      </c>
      <c r="K6" s="26">
        <v>47750000</v>
      </c>
      <c r="M6" s="8" t="s">
        <v>102</v>
      </c>
      <c r="N6" s="26">
        <v>47820000</v>
      </c>
      <c r="P6" s="8" t="s">
        <v>415</v>
      </c>
      <c r="Q6" s="26">
        <v>13715000</v>
      </c>
    </row>
    <row r="7" spans="1:17" x14ac:dyDescent="0.25">
      <c r="D7" s="29" t="s">
        <v>434</v>
      </c>
      <c r="E7" s="36">
        <v>22195000</v>
      </c>
      <c r="G7" s="8" t="s">
        <v>51</v>
      </c>
      <c r="H7" s="26">
        <v>45855000</v>
      </c>
      <c r="J7" s="29" t="s">
        <v>105</v>
      </c>
      <c r="K7" s="26">
        <v>47750000</v>
      </c>
      <c r="M7" s="8" t="s">
        <v>274</v>
      </c>
      <c r="N7" s="26">
        <v>34020000</v>
      </c>
      <c r="P7" s="8" t="s">
        <v>295</v>
      </c>
      <c r="Q7" s="26">
        <v>15300000</v>
      </c>
    </row>
    <row r="8" spans="1:17" x14ac:dyDescent="0.25">
      <c r="D8" s="29" t="s">
        <v>435</v>
      </c>
      <c r="E8" s="36">
        <v>32285000</v>
      </c>
      <c r="G8" s="8" t="s">
        <v>426</v>
      </c>
      <c r="H8" s="26">
        <v>217575000</v>
      </c>
      <c r="J8" s="8" t="s">
        <v>423</v>
      </c>
      <c r="K8" s="26">
        <v>10790000</v>
      </c>
      <c r="M8" s="8" t="s">
        <v>412</v>
      </c>
      <c r="N8" s="26">
        <v>32080000</v>
      </c>
      <c r="P8" s="8" t="s">
        <v>416</v>
      </c>
      <c r="Q8" s="26">
        <v>23635000</v>
      </c>
    </row>
    <row r="9" spans="1:17" x14ac:dyDescent="0.25">
      <c r="D9" s="29" t="s">
        <v>436</v>
      </c>
      <c r="E9" s="36">
        <v>34095000</v>
      </c>
      <c r="J9" s="29" t="s">
        <v>421</v>
      </c>
      <c r="K9" s="26">
        <v>10790000</v>
      </c>
      <c r="M9" s="8" t="s">
        <v>411</v>
      </c>
      <c r="N9" s="26">
        <v>29415000</v>
      </c>
      <c r="P9" s="8" t="s">
        <v>225</v>
      </c>
      <c r="Q9" s="26">
        <v>31180000</v>
      </c>
    </row>
    <row r="10" spans="1:17" x14ac:dyDescent="0.25">
      <c r="D10" s="8" t="s">
        <v>482</v>
      </c>
      <c r="E10" s="38">
        <v>126900000</v>
      </c>
      <c r="J10" s="8" t="s">
        <v>428</v>
      </c>
      <c r="K10" s="26">
        <v>14760000</v>
      </c>
      <c r="M10" s="8" t="s">
        <v>410</v>
      </c>
      <c r="N10" s="26">
        <v>5250000</v>
      </c>
      <c r="P10" s="8" t="s">
        <v>417</v>
      </c>
      <c r="Q10" s="26">
        <v>12740000</v>
      </c>
    </row>
    <row r="11" spans="1:17" x14ac:dyDescent="0.25">
      <c r="D11" s="29" t="s">
        <v>431</v>
      </c>
      <c r="E11" s="36">
        <v>57295000</v>
      </c>
      <c r="J11" s="29" t="s">
        <v>18</v>
      </c>
      <c r="K11" s="26">
        <v>14760000</v>
      </c>
      <c r="M11" s="8" t="s">
        <v>379</v>
      </c>
      <c r="N11" s="26">
        <v>20885000</v>
      </c>
      <c r="P11" s="8" t="s">
        <v>418</v>
      </c>
      <c r="Q11" s="26">
        <v>10125000</v>
      </c>
    </row>
    <row r="12" spans="1:17" x14ac:dyDescent="0.25">
      <c r="D12" s="29" t="s">
        <v>432</v>
      </c>
      <c r="E12" s="36">
        <v>50735000</v>
      </c>
      <c r="J12" s="8" t="s">
        <v>424</v>
      </c>
      <c r="K12" s="26">
        <v>8925000</v>
      </c>
      <c r="M12" s="8" t="s">
        <v>156</v>
      </c>
      <c r="N12" s="26">
        <v>24790000</v>
      </c>
      <c r="P12" s="8" t="s">
        <v>115</v>
      </c>
      <c r="Q12" s="26">
        <v>12435000</v>
      </c>
    </row>
    <row r="13" spans="1:17" x14ac:dyDescent="0.25">
      <c r="D13" s="29" t="s">
        <v>433</v>
      </c>
      <c r="E13" s="36">
        <v>18870000</v>
      </c>
      <c r="J13" s="29" t="s">
        <v>196</v>
      </c>
      <c r="K13" s="26">
        <v>8925000</v>
      </c>
      <c r="M13" s="8" t="s">
        <v>408</v>
      </c>
      <c r="N13" s="26">
        <v>2850000</v>
      </c>
      <c r="P13" s="8" t="s">
        <v>16</v>
      </c>
      <c r="Q13" s="26">
        <v>27620000</v>
      </c>
    </row>
    <row r="14" spans="1:17" x14ac:dyDescent="0.25">
      <c r="D14" s="8" t="s">
        <v>426</v>
      </c>
      <c r="E14" s="38">
        <v>217575000</v>
      </c>
      <c r="J14" s="8" t="s">
        <v>92</v>
      </c>
      <c r="K14" s="26">
        <v>33900000</v>
      </c>
      <c r="M14" s="8" t="s">
        <v>426</v>
      </c>
      <c r="N14" s="26">
        <v>217575000</v>
      </c>
      <c r="P14" s="8" t="s">
        <v>66</v>
      </c>
      <c r="Q14" s="26">
        <v>25700000</v>
      </c>
    </row>
    <row r="15" spans="1:17" x14ac:dyDescent="0.25">
      <c r="J15" s="29" t="s">
        <v>18</v>
      </c>
      <c r="K15" s="26">
        <v>33900000</v>
      </c>
      <c r="P15" s="8" t="s">
        <v>420</v>
      </c>
      <c r="Q15" s="26">
        <v>12060000</v>
      </c>
    </row>
    <row r="16" spans="1:17" x14ac:dyDescent="0.25">
      <c r="J16" s="8" t="s">
        <v>427</v>
      </c>
      <c r="K16" s="26">
        <v>75250000</v>
      </c>
      <c r="P16" s="8" t="s">
        <v>413</v>
      </c>
      <c r="Q16" s="26">
        <v>8030000</v>
      </c>
    </row>
    <row r="17" spans="1:17" x14ac:dyDescent="0.25">
      <c r="J17" s="29" t="s">
        <v>144</v>
      </c>
      <c r="K17" s="26">
        <v>75250000</v>
      </c>
      <c r="P17" s="8" t="s">
        <v>419</v>
      </c>
      <c r="Q17" s="26">
        <v>11360000</v>
      </c>
    </row>
    <row r="18" spans="1:17" x14ac:dyDescent="0.25">
      <c r="J18" s="8" t="s">
        <v>429</v>
      </c>
      <c r="K18" s="26">
        <v>650000</v>
      </c>
      <c r="P18" s="8" t="s">
        <v>426</v>
      </c>
      <c r="Q18" s="26">
        <v>217575000</v>
      </c>
    </row>
    <row r="19" spans="1:17" x14ac:dyDescent="0.25">
      <c r="J19" s="29" t="s">
        <v>421</v>
      </c>
      <c r="K19" s="26">
        <v>650000</v>
      </c>
    </row>
    <row r="20" spans="1:17" x14ac:dyDescent="0.25">
      <c r="J20" s="8" t="s">
        <v>426</v>
      </c>
      <c r="K20" s="26">
        <v>217575000</v>
      </c>
    </row>
    <row r="23" spans="1:17" ht="18.75" x14ac:dyDescent="0.3">
      <c r="A23" s="33" t="s">
        <v>445</v>
      </c>
      <c r="B23" s="33"/>
      <c r="C23" s="33"/>
      <c r="F23" s="33"/>
      <c r="G23" s="33"/>
    </row>
    <row r="24" spans="1:17" x14ac:dyDescent="0.25">
      <c r="B24" s="27" t="s">
        <v>454</v>
      </c>
      <c r="C24" s="27"/>
      <c r="F24" s="27" t="s">
        <v>464</v>
      </c>
      <c r="G24" s="27"/>
      <c r="I24" s="27" t="s">
        <v>465</v>
      </c>
      <c r="J24" s="27"/>
      <c r="L24" s="27" t="s">
        <v>466</v>
      </c>
      <c r="M24" s="27"/>
    </row>
    <row r="25" spans="1:17" x14ac:dyDescent="0.25">
      <c r="B25" s="7" t="s">
        <v>425</v>
      </c>
      <c r="C25" t="s">
        <v>453</v>
      </c>
      <c r="F25" s="7" t="s">
        <v>425</v>
      </c>
      <c r="G25" t="s">
        <v>430</v>
      </c>
      <c r="I25" s="7" t="s">
        <v>425</v>
      </c>
      <c r="J25" t="s">
        <v>430</v>
      </c>
      <c r="L25" s="7" t="s">
        <v>425</v>
      </c>
      <c r="M25" t="s">
        <v>453</v>
      </c>
    </row>
    <row r="26" spans="1:17" x14ac:dyDescent="0.25">
      <c r="B26" s="8" t="s">
        <v>87</v>
      </c>
      <c r="C26" s="34">
        <v>75120000</v>
      </c>
      <c r="F26" s="8" t="s">
        <v>87</v>
      </c>
      <c r="G26" s="28">
        <v>430</v>
      </c>
      <c r="I26" s="8" t="s">
        <v>87</v>
      </c>
      <c r="J26" s="24">
        <v>0.37686240140227872</v>
      </c>
      <c r="L26" s="8" t="s">
        <v>87</v>
      </c>
      <c r="M26" s="28">
        <v>75120000</v>
      </c>
    </row>
    <row r="27" spans="1:17" x14ac:dyDescent="0.25">
      <c r="B27" s="8" t="s">
        <v>8</v>
      </c>
      <c r="C27" s="34">
        <v>57110000</v>
      </c>
      <c r="F27" s="8" t="s">
        <v>62</v>
      </c>
      <c r="G27" s="28">
        <v>196</v>
      </c>
      <c r="I27" s="8" t="s">
        <v>62</v>
      </c>
      <c r="J27" s="24">
        <v>0.17177914110429449</v>
      </c>
      <c r="L27" s="8" t="s">
        <v>8</v>
      </c>
      <c r="M27" s="28">
        <v>57110000</v>
      </c>
    </row>
    <row r="28" spans="1:17" x14ac:dyDescent="0.25">
      <c r="B28" s="8" t="s">
        <v>51</v>
      </c>
      <c r="C28" s="34">
        <v>45855000</v>
      </c>
      <c r="F28" s="8" t="s">
        <v>8</v>
      </c>
      <c r="G28" s="28">
        <v>292</v>
      </c>
      <c r="I28" s="8" t="s">
        <v>8</v>
      </c>
      <c r="J28" s="24">
        <v>0.25591586327782645</v>
      </c>
      <c r="L28" s="8" t="s">
        <v>51</v>
      </c>
      <c r="M28" s="28">
        <v>45855000</v>
      </c>
    </row>
    <row r="29" spans="1:17" x14ac:dyDescent="0.25">
      <c r="B29" s="8" t="s">
        <v>62</v>
      </c>
      <c r="C29" s="34">
        <v>39490000</v>
      </c>
      <c r="F29" s="8" t="s">
        <v>51</v>
      </c>
      <c r="G29" s="28">
        <v>223</v>
      </c>
      <c r="I29" s="8" t="s">
        <v>51</v>
      </c>
      <c r="J29" s="24">
        <v>0.19544259421560034</v>
      </c>
      <c r="L29" s="8" t="s">
        <v>62</v>
      </c>
      <c r="M29" s="28">
        <v>39490000</v>
      </c>
    </row>
    <row r="30" spans="1:17" x14ac:dyDescent="0.25">
      <c r="B30" s="8" t="s">
        <v>426</v>
      </c>
      <c r="C30" s="34">
        <v>217575000</v>
      </c>
      <c r="F30" s="8" t="s">
        <v>426</v>
      </c>
      <c r="G30" s="28">
        <v>1141</v>
      </c>
      <c r="I30" s="8" t="s">
        <v>426</v>
      </c>
      <c r="J30" s="24">
        <v>1</v>
      </c>
      <c r="L30" s="8" t="s">
        <v>426</v>
      </c>
      <c r="M30" s="28">
        <v>217575000</v>
      </c>
    </row>
    <row r="33" spans="1:17" ht="18.75" x14ac:dyDescent="0.3">
      <c r="A33" s="33" t="s">
        <v>446</v>
      </c>
      <c r="B33" s="33"/>
      <c r="C33" s="33"/>
      <c r="F33" s="33"/>
      <c r="G33" s="33"/>
      <c r="I33" s="33"/>
      <c r="J33" s="33"/>
      <c r="K33" s="33"/>
    </row>
    <row r="34" spans="1:17" x14ac:dyDescent="0.25">
      <c r="B34" s="27" t="s">
        <v>459</v>
      </c>
      <c r="C34" s="27"/>
      <c r="D34" s="27" t="s">
        <v>476</v>
      </c>
      <c r="F34" s="27" t="s">
        <v>458</v>
      </c>
      <c r="G34" s="27"/>
      <c r="H34" s="30"/>
      <c r="J34" s="27" t="s">
        <v>460</v>
      </c>
      <c r="K34" s="27"/>
      <c r="L34" s="30"/>
      <c r="M34" s="27" t="s">
        <v>462</v>
      </c>
      <c r="N34" s="27"/>
      <c r="P34" s="27" t="s">
        <v>462</v>
      </c>
      <c r="Q34" s="27"/>
    </row>
    <row r="35" spans="1:17" x14ac:dyDescent="0.25">
      <c r="B35" s="7" t="s">
        <v>425</v>
      </c>
      <c r="C35" t="s">
        <v>453</v>
      </c>
      <c r="D35" t="s">
        <v>447</v>
      </c>
      <c r="F35" s="7" t="s">
        <v>425</v>
      </c>
      <c r="G35" t="s">
        <v>430</v>
      </c>
      <c r="H35" s="32"/>
      <c r="J35" s="7" t="s">
        <v>425</v>
      </c>
      <c r="K35" t="s">
        <v>453</v>
      </c>
      <c r="L35" s="32"/>
      <c r="M35" s="7" t="s">
        <v>425</v>
      </c>
      <c r="N35" t="s">
        <v>430</v>
      </c>
      <c r="P35" t="s">
        <v>443</v>
      </c>
    </row>
    <row r="36" spans="1:17" x14ac:dyDescent="0.25">
      <c r="B36" s="8" t="s">
        <v>102</v>
      </c>
      <c r="C36" s="26">
        <v>47820000</v>
      </c>
      <c r="D36" s="28">
        <v>9.9999999999999964</v>
      </c>
      <c r="F36" s="8" t="s">
        <v>102</v>
      </c>
      <c r="G36" s="28">
        <v>224</v>
      </c>
      <c r="J36" s="8" t="s">
        <v>102</v>
      </c>
      <c r="K36" s="34">
        <v>47820000</v>
      </c>
      <c r="M36" s="8" t="s">
        <v>102</v>
      </c>
      <c r="N36" s="28">
        <v>224</v>
      </c>
      <c r="P36" s="28">
        <v>1141</v>
      </c>
    </row>
    <row r="37" spans="1:17" x14ac:dyDescent="0.25">
      <c r="B37" s="8" t="s">
        <v>274</v>
      </c>
      <c r="C37" s="26">
        <v>34020000</v>
      </c>
      <c r="F37" s="8" t="s">
        <v>274</v>
      </c>
      <c r="G37" s="28">
        <v>195</v>
      </c>
      <c r="J37" s="8" t="s">
        <v>274</v>
      </c>
      <c r="K37" s="34">
        <v>34020000</v>
      </c>
      <c r="M37" s="8" t="s">
        <v>274</v>
      </c>
      <c r="N37" s="28">
        <v>195</v>
      </c>
    </row>
    <row r="38" spans="1:17" x14ac:dyDescent="0.25">
      <c r="B38" s="8" t="s">
        <v>412</v>
      </c>
      <c r="C38" s="26">
        <v>32080000</v>
      </c>
      <c r="F38" s="8" t="s">
        <v>412</v>
      </c>
      <c r="G38" s="28">
        <v>177</v>
      </c>
      <c r="J38" s="8" t="s">
        <v>412</v>
      </c>
      <c r="K38" s="34">
        <v>32080000</v>
      </c>
      <c r="M38" s="8" t="s">
        <v>412</v>
      </c>
      <c r="N38" s="28">
        <v>177</v>
      </c>
    </row>
    <row r="39" spans="1:17" x14ac:dyDescent="0.25">
      <c r="B39" s="8" t="s">
        <v>411</v>
      </c>
      <c r="C39" s="26">
        <v>29415000</v>
      </c>
      <c r="F39" s="8" t="s">
        <v>411</v>
      </c>
      <c r="G39" s="28">
        <v>151</v>
      </c>
      <c r="J39" s="8" t="s">
        <v>426</v>
      </c>
      <c r="K39" s="34">
        <v>113920000</v>
      </c>
      <c r="M39" s="8" t="s">
        <v>426</v>
      </c>
      <c r="N39" s="28">
        <v>596</v>
      </c>
    </row>
    <row r="40" spans="1:17" x14ac:dyDescent="0.25">
      <c r="B40" s="8" t="s">
        <v>156</v>
      </c>
      <c r="C40" s="26">
        <v>24790000</v>
      </c>
      <c r="F40" s="8" t="s">
        <v>65</v>
      </c>
      <c r="G40" s="28">
        <v>124</v>
      </c>
    </row>
    <row r="41" spans="1:17" x14ac:dyDescent="0.25">
      <c r="B41" s="8" t="s">
        <v>379</v>
      </c>
      <c r="C41" s="26">
        <v>20885000</v>
      </c>
      <c r="F41" s="8" t="s">
        <v>156</v>
      </c>
      <c r="G41" s="28">
        <v>121</v>
      </c>
      <c r="J41" s="27" t="s">
        <v>461</v>
      </c>
      <c r="K41" s="27"/>
      <c r="M41" s="27" t="s">
        <v>463</v>
      </c>
      <c r="N41" s="27"/>
      <c r="P41" s="27" t="s">
        <v>480</v>
      </c>
      <c r="Q41" s="27"/>
    </row>
    <row r="42" spans="1:17" x14ac:dyDescent="0.25">
      <c r="B42" s="8" t="s">
        <v>65</v>
      </c>
      <c r="C42" s="26">
        <v>19815000</v>
      </c>
      <c r="F42" s="8" t="s">
        <v>379</v>
      </c>
      <c r="G42" s="28">
        <v>105</v>
      </c>
      <c r="J42" s="7" t="s">
        <v>425</v>
      </c>
      <c r="K42" t="s">
        <v>453</v>
      </c>
      <c r="M42" s="7" t="s">
        <v>425</v>
      </c>
      <c r="N42" t="s">
        <v>430</v>
      </c>
      <c r="P42" t="s">
        <v>447</v>
      </c>
    </row>
    <row r="43" spans="1:17" x14ac:dyDescent="0.25">
      <c r="B43" s="8" t="s">
        <v>410</v>
      </c>
      <c r="C43" s="26">
        <v>5250000</v>
      </c>
      <c r="F43" s="8" t="s">
        <v>408</v>
      </c>
      <c r="G43" s="28">
        <v>19</v>
      </c>
      <c r="J43" s="8" t="s">
        <v>410</v>
      </c>
      <c r="K43" s="26">
        <v>5250000</v>
      </c>
      <c r="M43" s="8" t="s">
        <v>408</v>
      </c>
      <c r="N43" s="28">
        <v>19</v>
      </c>
      <c r="P43" s="28">
        <v>9.9999999999999964</v>
      </c>
    </row>
    <row r="44" spans="1:17" x14ac:dyDescent="0.25">
      <c r="B44" s="8" t="s">
        <v>408</v>
      </c>
      <c r="C44" s="26">
        <v>2850000</v>
      </c>
      <c r="F44" s="8" t="s">
        <v>410</v>
      </c>
      <c r="G44" s="28">
        <v>15</v>
      </c>
      <c r="J44" s="8" t="s">
        <v>408</v>
      </c>
      <c r="K44" s="26">
        <v>2850000</v>
      </c>
      <c r="M44" s="8" t="s">
        <v>410</v>
      </c>
      <c r="N44" s="28">
        <v>15</v>
      </c>
    </row>
    <row r="45" spans="1:17" x14ac:dyDescent="0.25">
      <c r="B45" s="8" t="s">
        <v>409</v>
      </c>
      <c r="C45" s="26">
        <v>650000</v>
      </c>
      <c r="F45" s="8" t="s">
        <v>409</v>
      </c>
      <c r="G45" s="28">
        <v>10</v>
      </c>
      <c r="J45" s="8" t="s">
        <v>409</v>
      </c>
      <c r="K45" s="26">
        <v>650000</v>
      </c>
      <c r="M45" s="8" t="s">
        <v>409</v>
      </c>
      <c r="N45" s="28">
        <v>10</v>
      </c>
    </row>
    <row r="46" spans="1:17" x14ac:dyDescent="0.25">
      <c r="B46" s="8" t="s">
        <v>426</v>
      </c>
      <c r="C46" s="26">
        <v>217575000</v>
      </c>
      <c r="F46" s="8" t="s">
        <v>426</v>
      </c>
      <c r="G46" s="28">
        <v>1141</v>
      </c>
      <c r="J46" s="8" t="s">
        <v>426</v>
      </c>
      <c r="K46" s="26">
        <v>8750000</v>
      </c>
      <c r="M46" s="8" t="s">
        <v>426</v>
      </c>
      <c r="N46" s="28">
        <v>44</v>
      </c>
    </row>
    <row r="49" spans="1:17" ht="18.75" x14ac:dyDescent="0.3">
      <c r="A49" s="33" t="s">
        <v>467</v>
      </c>
      <c r="B49" s="33"/>
      <c r="C49" s="33"/>
      <c r="E49" s="33"/>
      <c r="F49" s="33"/>
      <c r="G49" s="33"/>
    </row>
    <row r="50" spans="1:17" x14ac:dyDescent="0.25">
      <c r="B50" s="27" t="s">
        <v>455</v>
      </c>
      <c r="C50" s="27"/>
      <c r="D50" s="30"/>
      <c r="F50" s="27" t="s">
        <v>468</v>
      </c>
      <c r="G50" s="27"/>
      <c r="M50" s="27" t="s">
        <v>469</v>
      </c>
      <c r="N50" s="27"/>
      <c r="P50" s="27" t="s">
        <v>470</v>
      </c>
      <c r="Q50" s="27"/>
    </row>
    <row r="51" spans="1:17" x14ac:dyDescent="0.25">
      <c r="B51" s="7" t="s">
        <v>425</v>
      </c>
      <c r="C51" t="s">
        <v>453</v>
      </c>
      <c r="F51" s="7" t="s">
        <v>430</v>
      </c>
      <c r="G51" s="7" t="s">
        <v>449</v>
      </c>
      <c r="M51" s="7" t="s">
        <v>425</v>
      </c>
      <c r="N51" t="s">
        <v>430</v>
      </c>
      <c r="P51" s="7" t="s">
        <v>425</v>
      </c>
      <c r="Q51" t="s">
        <v>453</v>
      </c>
    </row>
    <row r="52" spans="1:17" x14ac:dyDescent="0.25">
      <c r="B52" s="8" t="s">
        <v>196</v>
      </c>
      <c r="C52" s="34">
        <v>8925000</v>
      </c>
      <c r="F52" s="7" t="s">
        <v>425</v>
      </c>
      <c r="G52" t="s">
        <v>87</v>
      </c>
      <c r="H52" t="s">
        <v>62</v>
      </c>
      <c r="I52" t="s">
        <v>8</v>
      </c>
      <c r="J52" t="s">
        <v>51</v>
      </c>
      <c r="K52" t="s">
        <v>426</v>
      </c>
      <c r="M52" s="8" t="s">
        <v>18</v>
      </c>
      <c r="N52" s="28">
        <v>308</v>
      </c>
      <c r="P52" s="8" t="s">
        <v>144</v>
      </c>
      <c r="Q52" s="28">
        <v>75250000</v>
      </c>
    </row>
    <row r="53" spans="1:17" x14ac:dyDescent="0.25">
      <c r="B53" s="8" t="s">
        <v>105</v>
      </c>
      <c r="C53" s="34">
        <v>47750000</v>
      </c>
      <c r="F53" s="8" t="s">
        <v>422</v>
      </c>
      <c r="G53" s="28">
        <v>103</v>
      </c>
      <c r="H53" s="28">
        <v>30</v>
      </c>
      <c r="I53" s="28">
        <v>10</v>
      </c>
      <c r="J53" s="28">
        <v>3</v>
      </c>
      <c r="K53" s="28">
        <v>146</v>
      </c>
      <c r="M53" s="8" t="s">
        <v>144</v>
      </c>
      <c r="N53" s="28">
        <v>215</v>
      </c>
      <c r="P53" s="8" t="s">
        <v>18</v>
      </c>
      <c r="Q53" s="28">
        <v>48660000</v>
      </c>
    </row>
    <row r="54" spans="1:17" x14ac:dyDescent="0.25">
      <c r="B54" s="8" t="s">
        <v>144</v>
      </c>
      <c r="C54" s="34">
        <v>75250000</v>
      </c>
      <c r="F54" s="8" t="s">
        <v>104</v>
      </c>
      <c r="G54" s="28">
        <v>72</v>
      </c>
      <c r="H54" s="28">
        <v>33</v>
      </c>
      <c r="I54" s="28">
        <v>36</v>
      </c>
      <c r="J54" s="28">
        <v>50</v>
      </c>
      <c r="K54" s="28">
        <v>191</v>
      </c>
      <c r="M54" s="8" t="s">
        <v>105</v>
      </c>
      <c r="N54" s="28">
        <v>191</v>
      </c>
      <c r="P54" s="8" t="s">
        <v>105</v>
      </c>
      <c r="Q54" s="28">
        <v>47750000</v>
      </c>
    </row>
    <row r="55" spans="1:17" x14ac:dyDescent="0.25">
      <c r="B55" s="8" t="s">
        <v>18</v>
      </c>
      <c r="C55" s="34">
        <v>48660000</v>
      </c>
      <c r="F55" s="8" t="s">
        <v>423</v>
      </c>
      <c r="G55" s="28">
        <v>47</v>
      </c>
      <c r="H55" s="28">
        <v>17</v>
      </c>
      <c r="I55" s="28">
        <v>53</v>
      </c>
      <c r="J55" s="28">
        <v>49</v>
      </c>
      <c r="K55" s="28">
        <v>166</v>
      </c>
      <c r="M55" s="8" t="s">
        <v>421</v>
      </c>
      <c r="N55" s="28">
        <v>176</v>
      </c>
      <c r="P55" s="8" t="s">
        <v>97</v>
      </c>
      <c r="Q55" s="28">
        <v>25550000</v>
      </c>
    </row>
    <row r="56" spans="1:17" x14ac:dyDescent="0.25">
      <c r="B56" s="8" t="s">
        <v>421</v>
      </c>
      <c r="C56" s="34">
        <v>11440000</v>
      </c>
      <c r="F56" s="8" t="s">
        <v>428</v>
      </c>
      <c r="G56" s="28">
        <v>36</v>
      </c>
      <c r="H56" s="28">
        <v>33</v>
      </c>
      <c r="I56" s="28">
        <v>8</v>
      </c>
      <c r="J56" s="28">
        <v>5</v>
      </c>
      <c r="K56" s="28">
        <v>82</v>
      </c>
      <c r="M56" s="8" t="s">
        <v>97</v>
      </c>
      <c r="N56" s="28">
        <v>146</v>
      </c>
      <c r="P56" s="8" t="s">
        <v>421</v>
      </c>
      <c r="Q56" s="28">
        <v>11440000</v>
      </c>
    </row>
    <row r="57" spans="1:17" x14ac:dyDescent="0.25">
      <c r="B57" s="8" t="s">
        <v>97</v>
      </c>
      <c r="C57" s="34">
        <v>25550000</v>
      </c>
      <c r="F57" s="8" t="s">
        <v>424</v>
      </c>
      <c r="G57" s="28">
        <v>46</v>
      </c>
      <c r="H57" s="28">
        <v>17</v>
      </c>
      <c r="I57" s="28">
        <v>35</v>
      </c>
      <c r="J57" s="28">
        <v>7</v>
      </c>
      <c r="K57" s="28">
        <v>105</v>
      </c>
      <c r="M57" s="8" t="s">
        <v>196</v>
      </c>
      <c r="N57" s="28">
        <v>105</v>
      </c>
      <c r="P57" s="8" t="s">
        <v>196</v>
      </c>
      <c r="Q57" s="28">
        <v>8925000</v>
      </c>
    </row>
    <row r="58" spans="1:17" x14ac:dyDescent="0.25">
      <c r="B58" s="8" t="s">
        <v>426</v>
      </c>
      <c r="C58" s="34">
        <v>217575000</v>
      </c>
      <c r="F58" s="8" t="s">
        <v>92</v>
      </c>
      <c r="G58" s="28">
        <v>78</v>
      </c>
      <c r="H58" s="28">
        <v>28</v>
      </c>
      <c r="I58" s="28">
        <v>70</v>
      </c>
      <c r="J58" s="28">
        <v>50</v>
      </c>
      <c r="K58" s="28">
        <v>226</v>
      </c>
      <c r="M58" s="8" t="s">
        <v>426</v>
      </c>
      <c r="N58" s="28">
        <v>1141</v>
      </c>
      <c r="P58" s="8" t="s">
        <v>426</v>
      </c>
      <c r="Q58" s="28">
        <v>217575000</v>
      </c>
    </row>
    <row r="59" spans="1:17" x14ac:dyDescent="0.25">
      <c r="F59" s="8" t="s">
        <v>427</v>
      </c>
      <c r="G59" s="28">
        <v>38</v>
      </c>
      <c r="H59" s="28">
        <v>38</v>
      </c>
      <c r="I59" s="28">
        <v>80</v>
      </c>
      <c r="J59" s="28">
        <v>59</v>
      </c>
      <c r="K59" s="28">
        <v>215</v>
      </c>
    </row>
    <row r="60" spans="1:17" x14ac:dyDescent="0.25">
      <c r="F60" s="8" t="s">
        <v>429</v>
      </c>
      <c r="G60" s="28">
        <v>10</v>
      </c>
      <c r="H60" s="28"/>
      <c r="I60" s="28"/>
      <c r="J60" s="28"/>
      <c r="K60" s="28">
        <v>10</v>
      </c>
    </row>
    <row r="61" spans="1:17" x14ac:dyDescent="0.25">
      <c r="F61" s="8" t="s">
        <v>426</v>
      </c>
      <c r="G61" s="28">
        <v>430</v>
      </c>
      <c r="H61" s="28">
        <v>196</v>
      </c>
      <c r="I61" s="28">
        <v>292</v>
      </c>
      <c r="J61" s="28">
        <v>223</v>
      </c>
      <c r="K61" s="28">
        <v>1141</v>
      </c>
    </row>
    <row r="71" spans="1:15" ht="18.75" x14ac:dyDescent="0.3">
      <c r="A71" s="33" t="s">
        <v>471</v>
      </c>
      <c r="B71" s="33"/>
      <c r="C71" s="33"/>
      <c r="D71" s="33"/>
      <c r="E71" s="33"/>
      <c r="F71" s="33"/>
      <c r="G71" s="33"/>
      <c r="H71" s="33"/>
      <c r="I71" s="33"/>
    </row>
    <row r="72" spans="1:15" x14ac:dyDescent="0.25">
      <c r="B72" s="27" t="s">
        <v>473</v>
      </c>
      <c r="C72" s="27"/>
      <c r="E72" s="27" t="s">
        <v>472</v>
      </c>
      <c r="F72" s="27"/>
      <c r="H72" s="27" t="s">
        <v>489</v>
      </c>
      <c r="I72" s="27"/>
      <c r="K72" s="27" t="s">
        <v>474</v>
      </c>
      <c r="L72" s="27"/>
      <c r="N72" s="27" t="s">
        <v>477</v>
      </c>
      <c r="O72" s="27"/>
    </row>
    <row r="73" spans="1:15" x14ac:dyDescent="0.25">
      <c r="B73" s="7" t="s">
        <v>425</v>
      </c>
      <c r="C73" t="s">
        <v>453</v>
      </c>
      <c r="E73" s="7" t="s">
        <v>425</v>
      </c>
      <c r="F73" t="s">
        <v>430</v>
      </c>
      <c r="H73" s="7" t="s">
        <v>425</v>
      </c>
      <c r="I73" t="s">
        <v>453</v>
      </c>
      <c r="K73" s="7" t="s">
        <v>425</v>
      </c>
      <c r="L73" t="s">
        <v>430</v>
      </c>
      <c r="N73" t="s">
        <v>448</v>
      </c>
    </row>
    <row r="74" spans="1:15" x14ac:dyDescent="0.25">
      <c r="B74" s="8" t="s">
        <v>414</v>
      </c>
      <c r="C74" s="26">
        <v>2195000</v>
      </c>
      <c r="E74" s="8" t="s">
        <v>225</v>
      </c>
      <c r="F74" s="26">
        <v>162</v>
      </c>
      <c r="H74" s="8" t="s">
        <v>66</v>
      </c>
      <c r="I74" s="34">
        <v>25700000</v>
      </c>
      <c r="K74" s="8" t="s">
        <v>55</v>
      </c>
      <c r="L74" s="28">
        <v>83</v>
      </c>
      <c r="N74" s="28">
        <v>13.999999999999995</v>
      </c>
    </row>
    <row r="75" spans="1:15" x14ac:dyDescent="0.25">
      <c r="B75" s="8" t="s">
        <v>55</v>
      </c>
      <c r="C75" s="26">
        <v>11480000</v>
      </c>
      <c r="E75" s="8" t="s">
        <v>16</v>
      </c>
      <c r="F75" s="26">
        <v>133</v>
      </c>
      <c r="H75" s="8" t="s">
        <v>16</v>
      </c>
      <c r="I75" s="34">
        <v>27620000</v>
      </c>
      <c r="K75" s="8" t="s">
        <v>416</v>
      </c>
      <c r="L75" s="28">
        <v>93</v>
      </c>
    </row>
    <row r="76" spans="1:15" x14ac:dyDescent="0.25">
      <c r="B76" s="8" t="s">
        <v>415</v>
      </c>
      <c r="C76" s="26">
        <v>13715000</v>
      </c>
      <c r="E76" s="8" t="s">
        <v>66</v>
      </c>
      <c r="F76" s="26">
        <v>112</v>
      </c>
      <c r="H76" s="8" t="s">
        <v>225</v>
      </c>
      <c r="I76" s="34">
        <v>31180000</v>
      </c>
      <c r="K76" s="8" t="s">
        <v>66</v>
      </c>
      <c r="L76" s="28">
        <v>112</v>
      </c>
    </row>
    <row r="77" spans="1:15" x14ac:dyDescent="0.25">
      <c r="B77" s="8" t="s">
        <v>295</v>
      </c>
      <c r="C77" s="26">
        <v>15300000</v>
      </c>
      <c r="E77" s="8" t="s">
        <v>416</v>
      </c>
      <c r="F77" s="26">
        <v>93</v>
      </c>
      <c r="H77" s="8" t="s">
        <v>426</v>
      </c>
      <c r="I77" s="34">
        <v>84500000</v>
      </c>
      <c r="K77" s="8" t="s">
        <v>16</v>
      </c>
      <c r="L77" s="28">
        <v>133</v>
      </c>
    </row>
    <row r="78" spans="1:15" x14ac:dyDescent="0.25">
      <c r="B78" s="8" t="s">
        <v>416</v>
      </c>
      <c r="C78" s="26">
        <v>23635000</v>
      </c>
      <c r="E78" s="8" t="s">
        <v>55</v>
      </c>
      <c r="F78" s="26">
        <v>83</v>
      </c>
      <c r="K78" s="8" t="s">
        <v>225</v>
      </c>
      <c r="L78" s="28">
        <v>162</v>
      </c>
    </row>
    <row r="79" spans="1:15" x14ac:dyDescent="0.25">
      <c r="B79" s="8" t="s">
        <v>225</v>
      </c>
      <c r="C79" s="26">
        <v>31180000</v>
      </c>
      <c r="E79" s="8" t="s">
        <v>418</v>
      </c>
      <c r="F79" s="26">
        <v>82</v>
      </c>
      <c r="K79" s="8" t="s">
        <v>426</v>
      </c>
      <c r="L79" s="28">
        <v>583</v>
      </c>
    </row>
    <row r="80" spans="1:15" x14ac:dyDescent="0.25">
      <c r="B80" s="8" t="s">
        <v>417</v>
      </c>
      <c r="C80" s="26">
        <v>12740000</v>
      </c>
      <c r="E80" s="8" t="s">
        <v>415</v>
      </c>
      <c r="F80" s="26">
        <v>80</v>
      </c>
    </row>
    <row r="81" spans="1:12" ht="18.75" x14ac:dyDescent="0.3">
      <c r="B81" s="8" t="s">
        <v>418</v>
      </c>
      <c r="C81" s="26">
        <v>10125000</v>
      </c>
      <c r="E81" s="8" t="s">
        <v>115</v>
      </c>
      <c r="F81" s="26">
        <v>76</v>
      </c>
      <c r="G81" s="33"/>
      <c r="H81" s="27" t="s">
        <v>478</v>
      </c>
      <c r="I81" s="27"/>
      <c r="K81" s="27" t="s">
        <v>479</v>
      </c>
      <c r="L81" s="27"/>
    </row>
    <row r="82" spans="1:12" x14ac:dyDescent="0.25">
      <c r="B82" s="8" t="s">
        <v>115</v>
      </c>
      <c r="C82" s="26">
        <v>12435000</v>
      </c>
      <c r="E82" s="8" t="s">
        <v>295</v>
      </c>
      <c r="F82" s="26">
        <v>75</v>
      </c>
      <c r="H82" s="7" t="s">
        <v>425</v>
      </c>
      <c r="I82" t="s">
        <v>453</v>
      </c>
      <c r="K82" s="7" t="s">
        <v>425</v>
      </c>
      <c r="L82" t="s">
        <v>430</v>
      </c>
    </row>
    <row r="83" spans="1:12" x14ac:dyDescent="0.25">
      <c r="B83" s="8" t="s">
        <v>16</v>
      </c>
      <c r="C83" s="26">
        <v>27620000</v>
      </c>
      <c r="E83" s="8" t="s">
        <v>417</v>
      </c>
      <c r="F83" s="26">
        <v>73</v>
      </c>
      <c r="H83" s="8" t="s">
        <v>414</v>
      </c>
      <c r="I83" s="26">
        <v>2195000</v>
      </c>
      <c r="K83" s="8" t="s">
        <v>417</v>
      </c>
      <c r="L83" s="26">
        <v>73</v>
      </c>
    </row>
    <row r="84" spans="1:12" x14ac:dyDescent="0.25">
      <c r="B84" s="8" t="s">
        <v>66</v>
      </c>
      <c r="C84" s="26">
        <v>25700000</v>
      </c>
      <c r="E84" s="8" t="s">
        <v>420</v>
      </c>
      <c r="F84" s="26">
        <v>66</v>
      </c>
      <c r="H84" s="8" t="s">
        <v>413</v>
      </c>
      <c r="I84" s="26">
        <v>8030000</v>
      </c>
      <c r="K84" s="8" t="s">
        <v>420</v>
      </c>
      <c r="L84" s="26">
        <v>66</v>
      </c>
    </row>
    <row r="85" spans="1:12" x14ac:dyDescent="0.25">
      <c r="B85" s="8" t="s">
        <v>420</v>
      </c>
      <c r="C85" s="26">
        <v>12060000</v>
      </c>
      <c r="E85" s="8" t="s">
        <v>419</v>
      </c>
      <c r="F85" s="26">
        <v>47</v>
      </c>
      <c r="H85" s="8" t="s">
        <v>418</v>
      </c>
      <c r="I85" s="26">
        <v>10125000</v>
      </c>
      <c r="K85" s="8" t="s">
        <v>419</v>
      </c>
      <c r="L85" s="26">
        <v>47</v>
      </c>
    </row>
    <row r="86" spans="1:12" x14ac:dyDescent="0.25">
      <c r="B86" s="8" t="s">
        <v>413</v>
      </c>
      <c r="C86" s="26">
        <v>8030000</v>
      </c>
      <c r="E86" s="8" t="s">
        <v>413</v>
      </c>
      <c r="F86" s="26">
        <v>44</v>
      </c>
      <c r="H86" s="8" t="s">
        <v>419</v>
      </c>
      <c r="I86" s="26">
        <v>11360000</v>
      </c>
      <c r="K86" s="8" t="s">
        <v>413</v>
      </c>
      <c r="L86" s="26">
        <v>44</v>
      </c>
    </row>
    <row r="87" spans="1:12" x14ac:dyDescent="0.25">
      <c r="B87" s="8" t="s">
        <v>419</v>
      </c>
      <c r="C87" s="26">
        <v>11360000</v>
      </c>
      <c r="E87" s="8" t="s">
        <v>414</v>
      </c>
      <c r="F87" s="26">
        <v>15</v>
      </c>
      <c r="H87" s="8" t="s">
        <v>55</v>
      </c>
      <c r="I87" s="26">
        <v>11480000</v>
      </c>
      <c r="K87" s="8" t="s">
        <v>414</v>
      </c>
      <c r="L87" s="26">
        <v>15</v>
      </c>
    </row>
    <row r="88" spans="1:12" x14ac:dyDescent="0.25">
      <c r="B88" s="8" t="s">
        <v>426</v>
      </c>
      <c r="C88" s="26">
        <v>217575000</v>
      </c>
      <c r="E88" s="8" t="s">
        <v>426</v>
      </c>
      <c r="F88" s="26">
        <v>1141</v>
      </c>
      <c r="H88" s="8" t="s">
        <v>426</v>
      </c>
      <c r="I88" s="26">
        <v>43190000</v>
      </c>
      <c r="K88" s="8" t="s">
        <v>426</v>
      </c>
      <c r="L88" s="26">
        <v>245</v>
      </c>
    </row>
    <row r="92" spans="1:12" ht="18.75" x14ac:dyDescent="0.3">
      <c r="A92" s="33" t="s">
        <v>487</v>
      </c>
      <c r="C92" s="33"/>
      <c r="D92" s="33"/>
      <c r="E92" s="33"/>
      <c r="F92" s="33"/>
      <c r="G92" s="33"/>
      <c r="H92" s="33"/>
      <c r="I92" s="33"/>
      <c r="J92" s="33"/>
    </row>
    <row r="93" spans="1:12" x14ac:dyDescent="0.25">
      <c r="C93" s="27" t="s">
        <v>486</v>
      </c>
      <c r="D93" s="27"/>
      <c r="F93" s="27" t="s">
        <v>481</v>
      </c>
      <c r="G93" s="27"/>
      <c r="I93" s="27" t="s">
        <v>485</v>
      </c>
      <c r="J93" s="27"/>
    </row>
    <row r="94" spans="1:12" x14ac:dyDescent="0.25">
      <c r="C94" s="7" t="s">
        <v>425</v>
      </c>
      <c r="D94" t="s">
        <v>453</v>
      </c>
      <c r="F94" s="7" t="s">
        <v>425</v>
      </c>
      <c r="G94" t="s">
        <v>453</v>
      </c>
      <c r="I94" s="7" t="s">
        <v>425</v>
      </c>
      <c r="J94" t="s">
        <v>453</v>
      </c>
      <c r="K94" s="7"/>
      <c r="L94" s="7"/>
    </row>
    <row r="95" spans="1:12" x14ac:dyDescent="0.25">
      <c r="C95" s="8" t="s">
        <v>431</v>
      </c>
      <c r="D95" s="26">
        <v>57295000</v>
      </c>
      <c r="F95" s="8" t="s">
        <v>431</v>
      </c>
      <c r="G95" s="26">
        <v>57295000</v>
      </c>
      <c r="I95" s="8" t="s">
        <v>431</v>
      </c>
      <c r="J95" s="26">
        <v>57295000</v>
      </c>
      <c r="K95" s="7"/>
      <c r="L95" s="7"/>
    </row>
    <row r="96" spans="1:12" x14ac:dyDescent="0.25">
      <c r="C96" s="8" t="s">
        <v>432</v>
      </c>
      <c r="D96" s="26">
        <v>50735000</v>
      </c>
      <c r="F96" s="8" t="s">
        <v>432</v>
      </c>
      <c r="G96" s="26">
        <v>50735000</v>
      </c>
      <c r="I96" s="8" t="s">
        <v>432</v>
      </c>
      <c r="J96" s="26">
        <v>50735000</v>
      </c>
    </row>
    <row r="97" spans="3:10" x14ac:dyDescent="0.25">
      <c r="C97" s="8" t="s">
        <v>433</v>
      </c>
      <c r="D97" s="26">
        <v>18870000</v>
      </c>
      <c r="F97" s="8" t="s">
        <v>433</v>
      </c>
      <c r="G97" s="26">
        <v>18870000</v>
      </c>
      <c r="I97" s="8" t="s">
        <v>433</v>
      </c>
      <c r="J97" s="26">
        <v>18870000</v>
      </c>
    </row>
    <row r="98" spans="3:10" x14ac:dyDescent="0.25">
      <c r="C98" s="8" t="s">
        <v>434</v>
      </c>
      <c r="D98" s="26">
        <v>22195000</v>
      </c>
      <c r="F98" s="8" t="s">
        <v>434</v>
      </c>
      <c r="G98" s="26">
        <v>22195000</v>
      </c>
      <c r="I98" s="8" t="s">
        <v>434</v>
      </c>
      <c r="J98" s="26">
        <v>22195000</v>
      </c>
    </row>
    <row r="99" spans="3:10" x14ac:dyDescent="0.25">
      <c r="C99" s="8" t="s">
        <v>435</v>
      </c>
      <c r="D99" s="26">
        <v>32285000</v>
      </c>
      <c r="F99" s="8" t="s">
        <v>435</v>
      </c>
      <c r="G99" s="26">
        <v>32285000</v>
      </c>
      <c r="I99" s="8" t="s">
        <v>435</v>
      </c>
      <c r="J99" s="26">
        <v>32285000</v>
      </c>
    </row>
    <row r="100" spans="3:10" x14ac:dyDescent="0.25">
      <c r="C100" s="8" t="s">
        <v>436</v>
      </c>
      <c r="D100" s="26">
        <v>34095000</v>
      </c>
      <c r="F100" s="8" t="s">
        <v>436</v>
      </c>
      <c r="G100" s="26">
        <v>34095000</v>
      </c>
      <c r="I100" s="8" t="s">
        <v>436</v>
      </c>
      <c r="J100" s="26">
        <v>34095000</v>
      </c>
    </row>
    <row r="101" spans="3:10" x14ac:dyDescent="0.25">
      <c r="C101" s="8" t="s">
        <v>437</v>
      </c>
      <c r="D101" s="26">
        <v>2100000</v>
      </c>
      <c r="F101" s="8" t="s">
        <v>437</v>
      </c>
      <c r="G101" s="26">
        <v>2100000</v>
      </c>
      <c r="I101" s="8" t="s">
        <v>437</v>
      </c>
      <c r="J101" s="26">
        <v>2100000</v>
      </c>
    </row>
    <row r="102" spans="3:10" x14ac:dyDescent="0.25">
      <c r="C102" s="8" t="s">
        <v>426</v>
      </c>
      <c r="D102" s="26">
        <v>217575000</v>
      </c>
      <c r="F102" s="8" t="s">
        <v>426</v>
      </c>
      <c r="G102" s="26">
        <v>217575000</v>
      </c>
      <c r="I102" s="8" t="s">
        <v>426</v>
      </c>
      <c r="J102" s="26">
        <v>217575000</v>
      </c>
    </row>
  </sheetData>
  <pageMargins left="0.7" right="0.7" top="0.75" bottom="0.75" header="0.3" footer="0.3"/>
  <pageSetup orientation="portrait" horizontalDpi="1200" verticalDpi="1200" r:id="rId3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B30F5-A592-4EF0-BF7D-473D4DE16CE6}">
  <sheetPr>
    <tabColor theme="3" tint="0.59999389629810485"/>
  </sheetPr>
  <dimension ref="I12"/>
  <sheetViews>
    <sheetView showGridLines="0" showRowColHeaders="0" tabSelected="1" topLeftCell="A3" zoomScale="53" zoomScaleNormal="53" workbookViewId="0">
      <selection activeCell="AC12" sqref="AC12"/>
    </sheetView>
  </sheetViews>
  <sheetFormatPr defaultRowHeight="15" x14ac:dyDescent="0.25"/>
  <cols>
    <col min="1" max="1" width="9.140625" style="31"/>
    <col min="2" max="2" width="11.5703125" style="31" bestFit="1" customWidth="1"/>
    <col min="3" max="16384" width="9.140625" style="31"/>
  </cols>
  <sheetData>
    <row r="12" spans="9:9" x14ac:dyDescent="0.25">
      <c r="I12" s="31">
        <f>rev</f>
        <v>217575000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Cover</vt:lpstr>
      <vt:lpstr>Raw Data</vt:lpstr>
      <vt:lpstr>Cleaned</vt:lpstr>
      <vt:lpstr>Sheet1</vt:lpstr>
      <vt:lpstr>Analysis</vt:lpstr>
      <vt:lpstr>Dashboard</vt:lpstr>
      <vt:lpstr>cus</vt:lpstr>
      <vt:lpstr>rep</vt:lpstr>
      <vt:lpstr>repp</vt:lpstr>
      <vt:lpstr>rev</vt:lpstr>
      <vt:lpstr>vol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Muhsin H.</dc:creator>
  <cp:keywords>Personal</cp:keywords>
  <cp:lastModifiedBy>WoleGT</cp:lastModifiedBy>
  <dcterms:created xsi:type="dcterms:W3CDTF">2025-10-20T20:05:08Z</dcterms:created>
  <dcterms:modified xsi:type="dcterms:W3CDTF">2026-01-20T22:21:02Z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2025-10-28T17:00:44Z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e850a7d0-6f71-4a59-8f31-fc421635ba4f</vt:lpwstr>
  </property>
  <property fmtid="{D5CDD505-2E9C-101B-9397-08002B2CF9AE}" pid="7" name="MSIP_Label_defa4170-0d19-0005-0004-bc88714345d2_ActionId">
    <vt:lpwstr>a905a4e3-0ba4-43da-99e7-ede8b93906d5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